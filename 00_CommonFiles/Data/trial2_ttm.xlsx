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F\RESEARCH\GRANT\"/>
    </mc:Choice>
  </mc:AlternateContent>
  <xr:revisionPtr revIDLastSave="0" documentId="8_{2DD7E2DC-F9AB-44CA-B35B-6ED4CE968BDA}" xr6:coauthVersionLast="47" xr6:coauthVersionMax="47" xr10:uidLastSave="{00000000-0000-0000-0000-000000000000}"/>
  <bookViews>
    <workbookView xWindow="-108" yWindow="-108" windowWidth="23256" windowHeight="13896" xr2:uid="{C3282AB8-EDFA-435D-A603-8069BC07039A}"/>
  </bookViews>
  <sheets>
    <sheet name="tidy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7" i="7" l="1"/>
  <c r="T88" i="7"/>
  <c r="T89" i="7"/>
  <c r="T92" i="7" l="1"/>
  <c r="T91" i="7"/>
  <c r="S92" i="7"/>
  <c r="S91" i="7"/>
  <c r="R91" i="7"/>
  <c r="S89" i="7" l="1"/>
  <c r="R89" i="7"/>
  <c r="R77" i="7"/>
  <c r="T77" i="7"/>
  <c r="S77" i="7"/>
  <c r="S87" i="7"/>
  <c r="T85" i="7"/>
  <c r="T84" i="7"/>
  <c r="T83" i="7"/>
  <c r="T82" i="7"/>
  <c r="T81" i="7"/>
  <c r="T80" i="7"/>
  <c r="T79" i="7"/>
  <c r="S84" i="7"/>
  <c r="S83" i="7"/>
  <c r="S82" i="7"/>
  <c r="S81" i="7"/>
  <c r="S80" i="7"/>
  <c r="S79" i="7"/>
  <c r="R88" i="7"/>
  <c r="R87" i="7"/>
  <c r="T73" i="7"/>
  <c r="T72" i="7"/>
  <c r="T71" i="7"/>
  <c r="T68" i="7"/>
  <c r="T66" i="7"/>
  <c r="T65" i="7"/>
  <c r="T63" i="7"/>
  <c r="T62" i="7"/>
  <c r="T61" i="7"/>
  <c r="T59" i="7"/>
  <c r="T58" i="7"/>
  <c r="T57" i="7"/>
  <c r="T56" i="7"/>
  <c r="T55" i="7"/>
  <c r="T54" i="7"/>
  <c r="T52" i="7"/>
  <c r="T50" i="7"/>
  <c r="T48" i="7"/>
  <c r="T47" i="7"/>
  <c r="T46" i="7"/>
  <c r="T44" i="7"/>
  <c r="T43" i="7"/>
  <c r="T42" i="7"/>
  <c r="T37" i="7"/>
  <c r="T33" i="7"/>
  <c r="T30" i="7"/>
  <c r="T28" i="7"/>
  <c r="T26" i="7"/>
  <c r="T22" i="7"/>
  <c r="T21" i="7"/>
  <c r="T20" i="7"/>
  <c r="T16" i="7"/>
  <c r="T15" i="7"/>
  <c r="T13" i="7"/>
  <c r="T12" i="7"/>
  <c r="T8" i="7"/>
  <c r="T4" i="7"/>
  <c r="S73" i="7"/>
  <c r="S72" i="7"/>
  <c r="S71" i="7"/>
  <c r="S68" i="7"/>
  <c r="S66" i="7"/>
  <c r="S65" i="7"/>
  <c r="S63" i="7"/>
  <c r="S62" i="7"/>
  <c r="S61" i="7"/>
  <c r="S59" i="7"/>
  <c r="S58" i="7"/>
  <c r="S57" i="7"/>
  <c r="S56" i="7"/>
  <c r="S55" i="7"/>
  <c r="S54" i="7"/>
  <c r="S52" i="7"/>
  <c r="S50" i="7"/>
  <c r="S48" i="7"/>
  <c r="S47" i="7"/>
  <c r="S46" i="7"/>
  <c r="S44" i="7"/>
  <c r="S43" i="7"/>
  <c r="S42" i="7"/>
  <c r="S37" i="7"/>
  <c r="S33" i="7"/>
  <c r="S88" i="7" s="1"/>
  <c r="S30" i="7"/>
  <c r="S28" i="7"/>
  <c r="S26" i="7"/>
  <c r="S22" i="7"/>
  <c r="S21" i="7"/>
  <c r="S20" i="7"/>
  <c r="S18" i="7"/>
  <c r="S16" i="7"/>
  <c r="S15" i="7"/>
  <c r="S13" i="7"/>
  <c r="S12" i="7"/>
  <c r="S8" i="7"/>
  <c r="S4" i="7"/>
  <c r="R8" i="7"/>
  <c r="R12" i="7"/>
  <c r="R13" i="7"/>
  <c r="R15" i="7"/>
  <c r="R16" i="7"/>
  <c r="R18" i="7"/>
  <c r="R92" i="7" s="1"/>
  <c r="R20" i="7"/>
  <c r="R21" i="7"/>
  <c r="R22" i="7"/>
  <c r="R26" i="7"/>
  <c r="R28" i="7"/>
  <c r="R30" i="7"/>
  <c r="R33" i="7"/>
  <c r="R37" i="7"/>
  <c r="R40" i="7"/>
  <c r="R42" i="7"/>
  <c r="R43" i="7"/>
  <c r="R44" i="7"/>
  <c r="R45" i="7"/>
  <c r="R46" i="7"/>
  <c r="R47" i="7"/>
  <c r="R48" i="7"/>
  <c r="R50" i="7"/>
  <c r="R52" i="7"/>
  <c r="R53" i="7"/>
  <c r="R54" i="7"/>
  <c r="R55" i="7"/>
  <c r="R56" i="7"/>
  <c r="R57" i="7"/>
  <c r="R58" i="7"/>
  <c r="R59" i="7"/>
  <c r="R61" i="7"/>
  <c r="R62" i="7"/>
  <c r="R63" i="7"/>
  <c r="R65" i="7"/>
  <c r="R66" i="7"/>
  <c r="R68" i="7"/>
  <c r="R71" i="7"/>
  <c r="R72" i="7"/>
  <c r="R73" i="7"/>
  <c r="R4" i="7"/>
</calcChain>
</file>

<file path=xl/sharedStrings.xml><?xml version="1.0" encoding="utf-8"?>
<sst xmlns="http://schemas.openxmlformats.org/spreadsheetml/2006/main" count="331" uniqueCount="35">
  <si>
    <t>A</t>
  </si>
  <si>
    <t>M</t>
  </si>
  <si>
    <t>F</t>
  </si>
  <si>
    <t>B</t>
  </si>
  <si>
    <t>C</t>
  </si>
  <si>
    <t>CW</t>
  </si>
  <si>
    <t>ttt</t>
  </si>
  <si>
    <t>crabID</t>
  </si>
  <si>
    <t>sex</t>
  </si>
  <si>
    <t>start_date</t>
  </si>
  <si>
    <t>end_date</t>
  </si>
  <si>
    <t>cw_start</t>
  </si>
  <si>
    <t>cw_end</t>
  </si>
  <si>
    <t>mass_start</t>
  </si>
  <si>
    <t>mass_end</t>
  </si>
  <si>
    <t>molt</t>
  </si>
  <si>
    <t>molt_date</t>
  </si>
  <si>
    <t>mort</t>
  </si>
  <si>
    <t>mort_date</t>
  </si>
  <si>
    <t>NA</t>
  </si>
  <si>
    <t>second_molt</t>
  </si>
  <si>
    <t>days to molt</t>
  </si>
  <si>
    <t>date_0</t>
  </si>
  <si>
    <t>date_molt</t>
  </si>
  <si>
    <t>mass</t>
  </si>
  <si>
    <t>Days to molt ttt A</t>
  </si>
  <si>
    <t>Days to molt ttt B</t>
  </si>
  <si>
    <t>Days to molt Male</t>
  </si>
  <si>
    <t>Days to molt Female</t>
  </si>
  <si>
    <t>Days to molt ttt C</t>
  </si>
  <si>
    <t>&lt; ttt A</t>
  </si>
  <si>
    <t>&lt; ttt B</t>
  </si>
  <si>
    <t>&lt; ttt C</t>
  </si>
  <si>
    <t>&lt; Male % CW &amp; mass</t>
  </si>
  <si>
    <t>&lt; Female % CW &amp;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</si>
</sst>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14" fontId="2" fillId="0" borderId="0" xfId="0" applyNumberFormat="1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165" fontId="1" fillId="2" borderId="0" xfId="0" applyNumberFormat="1" applyFont="1" applyFill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99"/>
      <color rgb="FF0000FF"/>
      <color rgb="FFCCFFFF"/>
      <color rgb="FFFFFF99"/>
      <color rgb="FFFF505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EA67-7E8F-41CF-8CB7-8E6E1608C597}">
  <dimension ref="A1:W92"/>
  <sheetViews>
    <sheetView tabSelected="1" topLeftCell="A64" workbookViewId="0">
      <pane xSplit="3" topLeftCell="D1" activePane="topRight" state="frozen"/>
      <selection activeCell="A58" sqref="A58"/>
      <selection pane="topRight" activeCell="D89" sqref="D89"/>
    </sheetView>
  </sheetViews>
  <sheetFormatPr defaultColWidth="9.109375" defaultRowHeight="15.6" x14ac:dyDescent="0.3"/>
  <cols>
    <col min="1" max="1" width="3.5546875" style="1" bestFit="1" customWidth="1"/>
    <col min="2" max="2" width="7.33203125" style="1" bestFit="1" customWidth="1"/>
    <col min="3" max="3" width="7.33203125" style="1" customWidth="1"/>
    <col min="4" max="4" width="11.88671875" style="1" bestFit="1" customWidth="1"/>
    <col min="5" max="5" width="11.88671875" style="1" customWidth="1"/>
    <col min="6" max="6" width="9.44140625" style="1" bestFit="1" customWidth="1"/>
    <col min="7" max="7" width="8.5546875" style="1" bestFit="1" customWidth="1"/>
    <col min="8" max="8" width="11.44140625" style="1" bestFit="1" customWidth="1"/>
    <col min="9" max="9" width="10.5546875" style="1" bestFit="1" customWidth="1"/>
    <col min="10" max="10" width="5.5546875" style="1" bestFit="1" customWidth="1"/>
    <col min="11" max="11" width="13.33203125" style="1" bestFit="1" customWidth="1"/>
    <col min="12" max="12" width="5.88671875" style="1" bestFit="1" customWidth="1"/>
    <col min="13" max="13" width="11.44140625" style="2" bestFit="1" customWidth="1"/>
    <col min="14" max="15" width="9.109375" style="1"/>
    <col min="16" max="16" width="9.109375" style="2"/>
    <col min="17" max="17" width="10.21875" style="2" customWidth="1"/>
    <col min="18" max="18" width="13.44140625" style="2" customWidth="1"/>
    <col min="19" max="20" width="9.109375" style="2"/>
    <col min="21" max="16384" width="9.109375" style="1"/>
  </cols>
  <sheetData>
    <row r="1" spans="1:20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2" t="s">
        <v>18</v>
      </c>
      <c r="N1" s="1" t="s">
        <v>20</v>
      </c>
      <c r="P1" s="2" t="s">
        <v>22</v>
      </c>
      <c r="Q1" s="2" t="s">
        <v>23</v>
      </c>
      <c r="R1" s="2" t="s">
        <v>21</v>
      </c>
      <c r="S1" s="2" t="s">
        <v>5</v>
      </c>
      <c r="T1" s="2" t="s">
        <v>24</v>
      </c>
    </row>
    <row r="2" spans="1:20" x14ac:dyDescent="0.3">
      <c r="A2" s="1" t="s">
        <v>0</v>
      </c>
      <c r="B2" s="2">
        <v>401</v>
      </c>
      <c r="C2" s="2" t="s">
        <v>2</v>
      </c>
      <c r="D2" s="6">
        <v>45372</v>
      </c>
      <c r="E2" s="13">
        <v>45501</v>
      </c>
      <c r="F2" s="11">
        <v>66.099999999999994</v>
      </c>
      <c r="G2" s="11" t="s">
        <v>19</v>
      </c>
      <c r="H2" s="11">
        <v>109.3</v>
      </c>
      <c r="I2" s="11" t="s">
        <v>19</v>
      </c>
      <c r="J2" s="1">
        <v>0</v>
      </c>
      <c r="K2" s="2" t="s">
        <v>19</v>
      </c>
      <c r="L2" s="1">
        <v>0</v>
      </c>
      <c r="M2" s="6" t="s">
        <v>19</v>
      </c>
      <c r="N2" s="1">
        <v>0</v>
      </c>
    </row>
    <row r="3" spans="1:20" x14ac:dyDescent="0.3">
      <c r="A3" s="1" t="s">
        <v>4</v>
      </c>
      <c r="B3" s="2">
        <v>402</v>
      </c>
      <c r="C3" s="2" t="s">
        <v>1</v>
      </c>
      <c r="D3" s="6">
        <v>45372</v>
      </c>
      <c r="E3" s="13">
        <v>45376</v>
      </c>
      <c r="F3" s="11">
        <v>65.599999999999994</v>
      </c>
      <c r="G3" s="11" t="s">
        <v>19</v>
      </c>
      <c r="H3" s="11">
        <v>128</v>
      </c>
      <c r="I3" s="11" t="s">
        <v>19</v>
      </c>
      <c r="J3" s="1">
        <v>0</v>
      </c>
      <c r="K3" s="2" t="s">
        <v>19</v>
      </c>
      <c r="L3" s="1">
        <v>1</v>
      </c>
      <c r="M3" s="6">
        <v>45376</v>
      </c>
      <c r="N3" s="1">
        <v>0</v>
      </c>
    </row>
    <row r="4" spans="1:20" x14ac:dyDescent="0.3">
      <c r="A4" s="1" t="s">
        <v>3</v>
      </c>
      <c r="B4" s="2">
        <v>403</v>
      </c>
      <c r="C4" s="2" t="s">
        <v>2</v>
      </c>
      <c r="D4" s="6">
        <v>45372</v>
      </c>
      <c r="E4" s="13">
        <v>45501</v>
      </c>
      <c r="F4" s="11">
        <v>59.6</v>
      </c>
      <c r="G4" s="11">
        <v>79</v>
      </c>
      <c r="H4" s="11">
        <v>100.2</v>
      </c>
      <c r="I4" s="11">
        <v>182.9</v>
      </c>
      <c r="J4" s="1">
        <v>1</v>
      </c>
      <c r="K4" s="6">
        <v>45423</v>
      </c>
      <c r="L4" s="1">
        <v>0</v>
      </c>
      <c r="M4" s="6" t="s">
        <v>19</v>
      </c>
      <c r="N4" s="1">
        <v>0</v>
      </c>
      <c r="P4" s="2">
        <v>80</v>
      </c>
      <c r="Q4" s="2">
        <v>131</v>
      </c>
      <c r="R4" s="2">
        <f>+Q4-P4</f>
        <v>51</v>
      </c>
      <c r="S4" s="4">
        <f>+(G4-F4)/F4</f>
        <v>0.32550335570469796</v>
      </c>
      <c r="T4" s="4">
        <f>+(I4-H4)/H4</f>
        <v>0.82534930139720564</v>
      </c>
    </row>
    <row r="5" spans="1:20" x14ac:dyDescent="0.3">
      <c r="A5" s="1" t="s">
        <v>0</v>
      </c>
      <c r="B5" s="2">
        <v>404</v>
      </c>
      <c r="C5" s="2" t="s">
        <v>1</v>
      </c>
      <c r="D5" s="6">
        <v>45372</v>
      </c>
      <c r="E5" s="13">
        <v>45501</v>
      </c>
      <c r="F5" s="11">
        <v>64.3</v>
      </c>
      <c r="G5" s="11" t="s">
        <v>19</v>
      </c>
      <c r="H5" s="11">
        <v>123</v>
      </c>
      <c r="I5" s="11" t="s">
        <v>19</v>
      </c>
      <c r="J5" s="1">
        <v>0</v>
      </c>
      <c r="K5" s="2" t="s">
        <v>19</v>
      </c>
      <c r="L5" s="1">
        <v>0</v>
      </c>
      <c r="M5" s="6" t="s">
        <v>19</v>
      </c>
      <c r="N5" s="1">
        <v>0</v>
      </c>
    </row>
    <row r="6" spans="1:20" x14ac:dyDescent="0.3">
      <c r="A6" s="1" t="s">
        <v>4</v>
      </c>
      <c r="B6" s="2">
        <v>405</v>
      </c>
      <c r="C6" s="2" t="s">
        <v>2</v>
      </c>
      <c r="D6" s="6">
        <v>45372</v>
      </c>
      <c r="E6" s="13">
        <v>45484</v>
      </c>
      <c r="F6" s="11">
        <v>54.7</v>
      </c>
      <c r="G6" s="11" t="s">
        <v>19</v>
      </c>
      <c r="H6" s="11">
        <v>84.5</v>
      </c>
      <c r="I6" s="11" t="s">
        <v>19</v>
      </c>
      <c r="J6" s="1">
        <v>0</v>
      </c>
      <c r="K6" s="2" t="s">
        <v>19</v>
      </c>
      <c r="L6" s="1">
        <v>1</v>
      </c>
      <c r="M6" s="13">
        <v>45484</v>
      </c>
      <c r="N6" s="1">
        <v>0</v>
      </c>
    </row>
    <row r="7" spans="1:20" x14ac:dyDescent="0.3">
      <c r="A7" s="1" t="s">
        <v>3</v>
      </c>
      <c r="B7" s="2">
        <v>406</v>
      </c>
      <c r="C7" s="2" t="s">
        <v>2</v>
      </c>
      <c r="D7" s="6">
        <v>45372</v>
      </c>
      <c r="E7" s="13">
        <v>45400</v>
      </c>
      <c r="F7" s="11">
        <v>57.9</v>
      </c>
      <c r="G7" s="11" t="s">
        <v>19</v>
      </c>
      <c r="H7" s="11">
        <v>89.9</v>
      </c>
      <c r="I7" s="11" t="s">
        <v>19</v>
      </c>
      <c r="J7" s="1">
        <v>0</v>
      </c>
      <c r="K7" s="2" t="s">
        <v>19</v>
      </c>
      <c r="L7" s="1">
        <v>1</v>
      </c>
      <c r="M7" s="6">
        <v>45400</v>
      </c>
      <c r="N7" s="1">
        <v>0</v>
      </c>
    </row>
    <row r="8" spans="1:20" x14ac:dyDescent="0.3">
      <c r="A8" s="1" t="s">
        <v>0</v>
      </c>
      <c r="B8" s="2">
        <v>407</v>
      </c>
      <c r="C8" s="2" t="s">
        <v>2</v>
      </c>
      <c r="D8" s="6">
        <v>45372</v>
      </c>
      <c r="E8" s="13">
        <v>45394</v>
      </c>
      <c r="F8" s="10">
        <v>58.3</v>
      </c>
      <c r="G8" s="11">
        <v>70</v>
      </c>
      <c r="H8" s="11">
        <v>102.3</v>
      </c>
      <c r="I8" s="11">
        <v>139.30000000000001</v>
      </c>
      <c r="J8" s="1">
        <v>1</v>
      </c>
      <c r="K8" s="6">
        <v>45390</v>
      </c>
      <c r="L8" s="1">
        <v>1</v>
      </c>
      <c r="M8" s="6">
        <v>45394</v>
      </c>
      <c r="N8" s="1">
        <v>0</v>
      </c>
      <c r="P8" s="2">
        <v>80</v>
      </c>
      <c r="Q8" s="2">
        <v>98</v>
      </c>
      <c r="R8" s="2">
        <f t="shared" ref="R8:R68" si="0">+Q8-P8</f>
        <v>18</v>
      </c>
      <c r="S8" s="4">
        <f>+(G8-F8)/F8</f>
        <v>0.20068610634648376</v>
      </c>
      <c r="T8" s="4">
        <f>+(I8-H8)/H8</f>
        <v>0.36168132942326503</v>
      </c>
    </row>
    <row r="9" spans="1:20" x14ac:dyDescent="0.3">
      <c r="A9" s="1" t="s">
        <v>3</v>
      </c>
      <c r="B9" s="2">
        <v>408</v>
      </c>
      <c r="C9" s="2" t="s">
        <v>2</v>
      </c>
      <c r="D9" s="6">
        <v>45379</v>
      </c>
      <c r="E9" s="13">
        <v>45400</v>
      </c>
      <c r="F9" s="11">
        <v>68.400000000000006</v>
      </c>
      <c r="G9" s="11" t="s">
        <v>19</v>
      </c>
      <c r="H9" s="11">
        <v>140.9</v>
      </c>
      <c r="I9" s="11" t="s">
        <v>19</v>
      </c>
      <c r="J9" s="1">
        <v>0</v>
      </c>
      <c r="K9" s="2" t="s">
        <v>19</v>
      </c>
      <c r="L9" s="1">
        <v>1</v>
      </c>
      <c r="M9" s="6">
        <v>45400</v>
      </c>
      <c r="N9" s="1">
        <v>0</v>
      </c>
    </row>
    <row r="10" spans="1:20" x14ac:dyDescent="0.3">
      <c r="A10" s="1" t="s">
        <v>3</v>
      </c>
      <c r="B10" s="2">
        <v>409</v>
      </c>
      <c r="C10" s="2" t="s">
        <v>2</v>
      </c>
      <c r="D10" s="6">
        <v>45372</v>
      </c>
      <c r="E10" s="13">
        <v>45501</v>
      </c>
      <c r="F10" s="11">
        <v>68</v>
      </c>
      <c r="G10" s="11" t="s">
        <v>19</v>
      </c>
      <c r="H10" s="11">
        <v>133.19999999999999</v>
      </c>
      <c r="I10" s="11" t="s">
        <v>19</v>
      </c>
      <c r="J10" s="1">
        <v>0</v>
      </c>
      <c r="K10" s="2" t="s">
        <v>19</v>
      </c>
      <c r="L10" s="1">
        <v>0</v>
      </c>
      <c r="M10" s="6" t="s">
        <v>19</v>
      </c>
      <c r="N10" s="1">
        <v>0</v>
      </c>
    </row>
    <row r="11" spans="1:20" x14ac:dyDescent="0.3">
      <c r="A11" s="1" t="s">
        <v>4</v>
      </c>
      <c r="B11" s="2">
        <v>411</v>
      </c>
      <c r="C11" s="2" t="s">
        <v>2</v>
      </c>
      <c r="D11" s="6">
        <v>45377</v>
      </c>
      <c r="E11" s="13">
        <v>45485</v>
      </c>
      <c r="F11" s="11">
        <v>68</v>
      </c>
      <c r="G11" s="11" t="s">
        <v>19</v>
      </c>
      <c r="H11" s="11">
        <v>139.1</v>
      </c>
      <c r="I11" s="11" t="s">
        <v>19</v>
      </c>
      <c r="J11" s="1">
        <v>0</v>
      </c>
      <c r="K11" s="2" t="s">
        <v>19</v>
      </c>
      <c r="L11" s="1">
        <v>1</v>
      </c>
      <c r="M11" s="13">
        <v>45485</v>
      </c>
      <c r="N11" s="1">
        <v>0</v>
      </c>
    </row>
    <row r="12" spans="1:20" x14ac:dyDescent="0.3">
      <c r="A12" s="1" t="s">
        <v>3</v>
      </c>
      <c r="B12" s="2">
        <v>412</v>
      </c>
      <c r="C12" s="2" t="s">
        <v>1</v>
      </c>
      <c r="D12" s="6">
        <v>45372</v>
      </c>
      <c r="E12" s="6">
        <v>45407</v>
      </c>
      <c r="F12" s="10">
        <v>63.7</v>
      </c>
      <c r="G12" s="11">
        <v>74.099999999999994</v>
      </c>
      <c r="H12" s="11">
        <v>118.7</v>
      </c>
      <c r="I12" s="11">
        <v>178.3</v>
      </c>
      <c r="J12" s="1">
        <v>1</v>
      </c>
      <c r="K12" s="6">
        <v>45388</v>
      </c>
      <c r="L12" s="1">
        <v>1</v>
      </c>
      <c r="M12" s="6">
        <v>45407</v>
      </c>
      <c r="N12" s="1">
        <v>0</v>
      </c>
      <c r="P12" s="2">
        <v>80</v>
      </c>
      <c r="Q12" s="2">
        <v>96</v>
      </c>
      <c r="R12" s="2">
        <f t="shared" si="0"/>
        <v>16</v>
      </c>
      <c r="S12" s="4">
        <f t="shared" ref="S12:S13" si="1">+(G12-F12)/F12</f>
        <v>0.16326530612244883</v>
      </c>
      <c r="T12" s="4">
        <f t="shared" ref="T12:T13" si="2">+(I12-H12)/H12</f>
        <v>0.50210614995787706</v>
      </c>
    </row>
    <row r="13" spans="1:20" x14ac:dyDescent="0.3">
      <c r="A13" s="1" t="s">
        <v>0</v>
      </c>
      <c r="B13" s="2">
        <v>413</v>
      </c>
      <c r="C13" s="2" t="s">
        <v>2</v>
      </c>
      <c r="D13" s="6">
        <v>45372</v>
      </c>
      <c r="E13" s="6">
        <v>45476</v>
      </c>
      <c r="F13" s="11">
        <v>55.8</v>
      </c>
      <c r="G13" s="11">
        <v>70.2</v>
      </c>
      <c r="H13" s="11">
        <v>81.900000000000006</v>
      </c>
      <c r="I13" s="11">
        <v>145.19999999999999</v>
      </c>
      <c r="J13" s="1">
        <v>1</v>
      </c>
      <c r="K13" s="6">
        <v>45392</v>
      </c>
      <c r="L13" s="1">
        <v>1</v>
      </c>
      <c r="M13" s="6">
        <v>45476</v>
      </c>
      <c r="N13" s="1">
        <v>0</v>
      </c>
      <c r="P13" s="2">
        <v>80</v>
      </c>
      <c r="Q13" s="2">
        <v>100</v>
      </c>
      <c r="R13" s="2">
        <f t="shared" si="0"/>
        <v>20</v>
      </c>
      <c r="S13" s="4">
        <f t="shared" si="1"/>
        <v>0.25806451612903236</v>
      </c>
      <c r="T13" s="4">
        <f t="shared" si="2"/>
        <v>0.77289377289377259</v>
      </c>
    </row>
    <row r="14" spans="1:20" x14ac:dyDescent="0.3">
      <c r="A14" s="1" t="s">
        <v>4</v>
      </c>
      <c r="B14" s="2">
        <v>414</v>
      </c>
      <c r="C14" s="2" t="s">
        <v>2</v>
      </c>
      <c r="D14" s="6">
        <v>45379</v>
      </c>
      <c r="E14" s="6">
        <v>45501</v>
      </c>
      <c r="F14" s="11">
        <v>67.599999999999994</v>
      </c>
      <c r="G14" s="11" t="s">
        <v>19</v>
      </c>
      <c r="H14" s="11">
        <v>127.9</v>
      </c>
      <c r="I14" s="11" t="s">
        <v>19</v>
      </c>
      <c r="J14" s="1">
        <v>0</v>
      </c>
      <c r="K14" s="2" t="s">
        <v>19</v>
      </c>
      <c r="L14" s="1">
        <v>1</v>
      </c>
      <c r="M14" s="6">
        <v>45483</v>
      </c>
      <c r="N14" s="1">
        <v>0</v>
      </c>
    </row>
    <row r="15" spans="1:20" x14ac:dyDescent="0.3">
      <c r="A15" s="1" t="s">
        <v>0</v>
      </c>
      <c r="B15" s="2">
        <v>416</v>
      </c>
      <c r="C15" s="2" t="s">
        <v>2</v>
      </c>
      <c r="D15" s="6">
        <v>45372</v>
      </c>
      <c r="E15" s="6">
        <v>45403</v>
      </c>
      <c r="F15" s="11">
        <v>56</v>
      </c>
      <c r="G15" s="11">
        <v>65.400000000000006</v>
      </c>
      <c r="H15" s="11">
        <v>83.4</v>
      </c>
      <c r="I15" s="10">
        <v>133.9</v>
      </c>
      <c r="J15" s="1">
        <v>1</v>
      </c>
      <c r="K15" s="6">
        <v>45384</v>
      </c>
      <c r="L15" s="1">
        <v>1</v>
      </c>
      <c r="M15" s="6">
        <v>45403</v>
      </c>
      <c r="N15" s="1">
        <v>0</v>
      </c>
      <c r="P15" s="2">
        <v>80</v>
      </c>
      <c r="Q15" s="2">
        <v>92</v>
      </c>
      <c r="R15" s="2">
        <f t="shared" si="0"/>
        <v>12</v>
      </c>
      <c r="S15" s="4">
        <f t="shared" ref="S15:S16" si="3">+(G15-F15)/F15</f>
        <v>0.16785714285714295</v>
      </c>
      <c r="T15" s="4">
        <f t="shared" ref="T15:T73" si="4">+(I15-H15)/H15</f>
        <v>0.60551558752997603</v>
      </c>
    </row>
    <row r="16" spans="1:20" x14ac:dyDescent="0.3">
      <c r="A16" s="1" t="s">
        <v>4</v>
      </c>
      <c r="B16" s="2">
        <v>417</v>
      </c>
      <c r="C16" s="2" t="s">
        <v>2</v>
      </c>
      <c r="D16" s="6">
        <v>45372</v>
      </c>
      <c r="E16" s="6">
        <v>45483</v>
      </c>
      <c r="F16" s="11">
        <v>53.2</v>
      </c>
      <c r="G16" s="11">
        <v>67.599999999999994</v>
      </c>
      <c r="H16" s="11">
        <v>68</v>
      </c>
      <c r="I16" s="11">
        <v>130.6</v>
      </c>
      <c r="J16" s="1">
        <v>1</v>
      </c>
      <c r="K16" s="6">
        <v>45399</v>
      </c>
      <c r="L16" s="1">
        <v>1</v>
      </c>
      <c r="M16" s="6">
        <v>45483</v>
      </c>
      <c r="N16" s="1">
        <v>0</v>
      </c>
      <c r="P16" s="2">
        <v>80</v>
      </c>
      <c r="Q16" s="2">
        <v>107</v>
      </c>
      <c r="R16" s="2">
        <f t="shared" si="0"/>
        <v>27</v>
      </c>
      <c r="S16" s="4">
        <f t="shared" si="3"/>
        <v>0.27067669172932313</v>
      </c>
      <c r="T16" s="4">
        <f t="shared" si="4"/>
        <v>0.9205882352941176</v>
      </c>
    </row>
    <row r="17" spans="1:20" x14ac:dyDescent="0.3">
      <c r="A17" s="1" t="s">
        <v>4</v>
      </c>
      <c r="B17" s="2">
        <v>418</v>
      </c>
      <c r="C17" s="2" t="s">
        <v>2</v>
      </c>
      <c r="D17" s="6">
        <v>45375</v>
      </c>
      <c r="E17" s="6">
        <v>45380</v>
      </c>
      <c r="F17" s="11">
        <v>61.5</v>
      </c>
      <c r="G17" s="11" t="s">
        <v>19</v>
      </c>
      <c r="H17" s="11">
        <v>98.3</v>
      </c>
      <c r="I17" s="11" t="s">
        <v>19</v>
      </c>
      <c r="J17" s="1">
        <v>0</v>
      </c>
      <c r="K17" s="2" t="s">
        <v>19</v>
      </c>
      <c r="L17" s="1">
        <v>1</v>
      </c>
      <c r="M17" s="6">
        <v>45380</v>
      </c>
      <c r="N17" s="1">
        <v>0</v>
      </c>
      <c r="T17" s="4"/>
    </row>
    <row r="18" spans="1:20" x14ac:dyDescent="0.3">
      <c r="A18" s="1" t="s">
        <v>4</v>
      </c>
      <c r="B18" s="2">
        <v>422</v>
      </c>
      <c r="C18" s="2" t="s">
        <v>2</v>
      </c>
      <c r="D18" s="6">
        <v>45377</v>
      </c>
      <c r="E18" s="6">
        <v>45388</v>
      </c>
      <c r="F18" s="11">
        <v>65.400000000000006</v>
      </c>
      <c r="G18" s="11">
        <v>76.8</v>
      </c>
      <c r="H18" s="11">
        <v>116.2</v>
      </c>
      <c r="I18" s="11" t="s">
        <v>19</v>
      </c>
      <c r="J18" s="1">
        <v>1</v>
      </c>
      <c r="K18" s="6">
        <v>45388</v>
      </c>
      <c r="L18" s="1">
        <v>1</v>
      </c>
      <c r="M18" s="6">
        <v>45388</v>
      </c>
      <c r="N18" s="1">
        <v>0</v>
      </c>
      <c r="P18" s="2">
        <v>85</v>
      </c>
      <c r="Q18" s="2">
        <v>96</v>
      </c>
      <c r="R18" s="2">
        <f t="shared" si="0"/>
        <v>11</v>
      </c>
      <c r="S18" s="4">
        <f>+(G18-F18)/F18</f>
        <v>0.17431192660550443</v>
      </c>
      <c r="T18" s="4"/>
    </row>
    <row r="19" spans="1:20" x14ac:dyDescent="0.3">
      <c r="A19" s="1" t="s">
        <v>4</v>
      </c>
      <c r="B19" s="2">
        <v>423</v>
      </c>
      <c r="C19" s="2" t="s">
        <v>2</v>
      </c>
      <c r="D19" s="6">
        <v>45372</v>
      </c>
      <c r="E19" s="6">
        <v>45429</v>
      </c>
      <c r="F19" s="11">
        <v>59.8</v>
      </c>
      <c r="G19" s="11" t="s">
        <v>19</v>
      </c>
      <c r="H19" s="11">
        <v>89.5</v>
      </c>
      <c r="I19" s="11" t="s">
        <v>19</v>
      </c>
      <c r="J19" s="1">
        <v>0</v>
      </c>
      <c r="K19" s="2" t="s">
        <v>19</v>
      </c>
      <c r="L19" s="1">
        <v>1</v>
      </c>
      <c r="M19" s="6">
        <v>45429</v>
      </c>
      <c r="N19" s="1">
        <v>0</v>
      </c>
      <c r="T19" s="4"/>
    </row>
    <row r="20" spans="1:20" x14ac:dyDescent="0.3">
      <c r="A20" s="1" t="s">
        <v>3</v>
      </c>
      <c r="B20" s="2">
        <v>501</v>
      </c>
      <c r="C20" s="2" t="s">
        <v>1</v>
      </c>
      <c r="D20" s="6">
        <v>45373</v>
      </c>
      <c r="E20" s="6">
        <v>45474</v>
      </c>
      <c r="F20" s="5">
        <v>55.4</v>
      </c>
      <c r="G20" s="3">
        <v>69</v>
      </c>
      <c r="H20" s="3">
        <v>75.599999999999994</v>
      </c>
      <c r="I20" s="3">
        <v>132.6</v>
      </c>
      <c r="J20" s="1">
        <v>1</v>
      </c>
      <c r="K20" s="6">
        <v>45394</v>
      </c>
      <c r="L20" s="1">
        <v>1</v>
      </c>
      <c r="M20" s="6">
        <v>45474</v>
      </c>
      <c r="N20" s="1">
        <v>0</v>
      </c>
      <c r="P20" s="2">
        <v>81</v>
      </c>
      <c r="Q20" s="2">
        <v>102</v>
      </c>
      <c r="R20" s="2">
        <f t="shared" si="0"/>
        <v>21</v>
      </c>
      <c r="S20" s="4">
        <f t="shared" ref="S20:S22" si="5">+(G20-F20)/F20</f>
        <v>0.24548736462093865</v>
      </c>
      <c r="T20" s="4">
        <f t="shared" si="4"/>
        <v>0.75396825396825407</v>
      </c>
    </row>
    <row r="21" spans="1:20" x14ac:dyDescent="0.3">
      <c r="A21" s="1" t="s">
        <v>0</v>
      </c>
      <c r="B21" s="2">
        <v>602</v>
      </c>
      <c r="C21" s="2" t="s">
        <v>1</v>
      </c>
      <c r="D21" s="6">
        <v>45372</v>
      </c>
      <c r="E21" s="6">
        <v>45495</v>
      </c>
      <c r="F21" s="3">
        <v>49.2</v>
      </c>
      <c r="G21" s="3">
        <v>61.8</v>
      </c>
      <c r="H21" s="3">
        <v>61.6</v>
      </c>
      <c r="I21" s="3">
        <v>107.4</v>
      </c>
      <c r="J21" s="1">
        <v>1</v>
      </c>
      <c r="K21" s="6">
        <v>45386</v>
      </c>
      <c r="L21" s="1">
        <v>1</v>
      </c>
      <c r="M21" s="6">
        <v>45495</v>
      </c>
      <c r="N21" s="1">
        <v>0</v>
      </c>
      <c r="P21" s="2">
        <v>80</v>
      </c>
      <c r="Q21" s="2">
        <v>94</v>
      </c>
      <c r="R21" s="2">
        <f t="shared" si="0"/>
        <v>14</v>
      </c>
      <c r="S21" s="4">
        <f t="shared" si="5"/>
        <v>0.25609756097560965</v>
      </c>
      <c r="T21" s="4">
        <f t="shared" si="4"/>
        <v>0.74350649350649356</v>
      </c>
    </row>
    <row r="22" spans="1:20" x14ac:dyDescent="0.3">
      <c r="A22" s="1" t="s">
        <v>4</v>
      </c>
      <c r="B22" s="2">
        <v>603</v>
      </c>
      <c r="C22" s="2" t="s">
        <v>1</v>
      </c>
      <c r="D22" s="6">
        <v>45372</v>
      </c>
      <c r="E22" s="6">
        <v>45470</v>
      </c>
      <c r="F22" s="5">
        <v>49.5</v>
      </c>
      <c r="G22" s="3">
        <v>58</v>
      </c>
      <c r="H22" s="3">
        <v>58.5</v>
      </c>
      <c r="I22" s="3">
        <v>89.7</v>
      </c>
      <c r="J22" s="1">
        <v>1</v>
      </c>
      <c r="K22" s="6">
        <v>45383</v>
      </c>
      <c r="L22" s="1">
        <v>1</v>
      </c>
      <c r="M22" s="6">
        <v>45470</v>
      </c>
      <c r="N22" s="1">
        <v>0</v>
      </c>
      <c r="P22" s="2">
        <v>80</v>
      </c>
      <c r="Q22" s="2">
        <v>91</v>
      </c>
      <c r="R22" s="2">
        <f t="shared" si="0"/>
        <v>11</v>
      </c>
      <c r="S22" s="4">
        <f t="shared" si="5"/>
        <v>0.17171717171717171</v>
      </c>
      <c r="T22" s="4">
        <f t="shared" si="4"/>
        <v>0.53333333333333344</v>
      </c>
    </row>
    <row r="23" spans="1:20" x14ac:dyDescent="0.3">
      <c r="A23" s="1" t="s">
        <v>4</v>
      </c>
      <c r="B23" s="2">
        <v>604</v>
      </c>
      <c r="C23" s="2" t="s">
        <v>1</v>
      </c>
      <c r="D23" s="6">
        <v>45372</v>
      </c>
      <c r="E23" s="6">
        <v>45501</v>
      </c>
      <c r="F23" s="3">
        <v>50.5</v>
      </c>
      <c r="G23" s="3" t="s">
        <v>19</v>
      </c>
      <c r="H23" s="3">
        <v>64.3</v>
      </c>
      <c r="I23" s="3" t="s">
        <v>19</v>
      </c>
      <c r="J23" s="1">
        <v>0</v>
      </c>
      <c r="K23" s="2" t="s">
        <v>19</v>
      </c>
      <c r="L23" s="1">
        <v>0</v>
      </c>
      <c r="M23" s="6" t="s">
        <v>19</v>
      </c>
      <c r="N23" s="1">
        <v>0</v>
      </c>
      <c r="T23" s="4"/>
    </row>
    <row r="24" spans="1:20" x14ac:dyDescent="0.3">
      <c r="A24" s="1" t="s">
        <v>3</v>
      </c>
      <c r="B24" s="2">
        <v>605</v>
      </c>
      <c r="C24" s="2" t="s">
        <v>1</v>
      </c>
      <c r="D24" s="6">
        <v>45372</v>
      </c>
      <c r="E24" s="6">
        <v>45401</v>
      </c>
      <c r="F24" s="3">
        <v>51.1</v>
      </c>
      <c r="G24" s="3" t="s">
        <v>19</v>
      </c>
      <c r="H24" s="3">
        <v>63.7</v>
      </c>
      <c r="I24" s="3" t="s">
        <v>19</v>
      </c>
      <c r="J24" s="1">
        <v>0</v>
      </c>
      <c r="K24" s="2" t="s">
        <v>19</v>
      </c>
      <c r="L24" s="1">
        <v>1</v>
      </c>
      <c r="M24" s="6">
        <v>45401</v>
      </c>
      <c r="N24" s="1">
        <v>0</v>
      </c>
      <c r="T24" s="4"/>
    </row>
    <row r="25" spans="1:20" x14ac:dyDescent="0.3">
      <c r="A25" s="1" t="s">
        <v>0</v>
      </c>
      <c r="B25" s="2">
        <v>606</v>
      </c>
      <c r="C25" s="2" t="s">
        <v>1</v>
      </c>
      <c r="D25" s="6">
        <v>45372</v>
      </c>
      <c r="E25" s="6">
        <v>45382</v>
      </c>
      <c r="F25" s="3">
        <v>51.1</v>
      </c>
      <c r="G25" s="3" t="s">
        <v>19</v>
      </c>
      <c r="H25" s="3">
        <v>68.8</v>
      </c>
      <c r="I25" s="3" t="s">
        <v>19</v>
      </c>
      <c r="J25" s="1">
        <v>0</v>
      </c>
      <c r="K25" s="2" t="s">
        <v>19</v>
      </c>
      <c r="L25" s="1">
        <v>1</v>
      </c>
      <c r="M25" s="6">
        <v>45382</v>
      </c>
      <c r="N25" s="1">
        <v>0</v>
      </c>
      <c r="T25" s="4"/>
    </row>
    <row r="26" spans="1:20" x14ac:dyDescent="0.3">
      <c r="A26" s="1" t="s">
        <v>0</v>
      </c>
      <c r="B26" s="2">
        <v>607</v>
      </c>
      <c r="C26" s="2" t="s">
        <v>1</v>
      </c>
      <c r="D26" s="6">
        <v>45372</v>
      </c>
      <c r="E26" s="6">
        <v>45501</v>
      </c>
      <c r="F26" s="3">
        <v>51.2</v>
      </c>
      <c r="G26" s="3">
        <v>64.099999999999994</v>
      </c>
      <c r="H26" s="3">
        <v>68.900000000000006</v>
      </c>
      <c r="I26" s="3">
        <v>120.2</v>
      </c>
      <c r="J26" s="1">
        <v>1</v>
      </c>
      <c r="K26" s="6">
        <v>45394</v>
      </c>
      <c r="L26" s="1">
        <v>0</v>
      </c>
      <c r="M26" s="6" t="s">
        <v>19</v>
      </c>
      <c r="N26" s="1">
        <v>0</v>
      </c>
      <c r="P26" s="2">
        <v>80</v>
      </c>
      <c r="Q26" s="2">
        <v>102</v>
      </c>
      <c r="R26" s="2">
        <f t="shared" si="0"/>
        <v>22</v>
      </c>
      <c r="S26" s="4">
        <f>+(G26-F26)/F26</f>
        <v>0.25195312499999983</v>
      </c>
      <c r="T26" s="4">
        <f t="shared" si="4"/>
        <v>0.74455732946298969</v>
      </c>
    </row>
    <row r="27" spans="1:20" x14ac:dyDescent="0.3">
      <c r="A27" s="1" t="s">
        <v>4</v>
      </c>
      <c r="B27" s="2">
        <v>608</v>
      </c>
      <c r="C27" s="2" t="s">
        <v>1</v>
      </c>
      <c r="D27" s="6">
        <v>45372</v>
      </c>
      <c r="E27" s="6">
        <v>45379</v>
      </c>
      <c r="F27" s="3">
        <v>52</v>
      </c>
      <c r="G27" s="3" t="s">
        <v>19</v>
      </c>
      <c r="H27" s="3">
        <v>64.599999999999994</v>
      </c>
      <c r="I27" s="3" t="s">
        <v>19</v>
      </c>
      <c r="J27" s="1">
        <v>0</v>
      </c>
      <c r="K27" s="2" t="s">
        <v>19</v>
      </c>
      <c r="L27" s="1">
        <v>1</v>
      </c>
      <c r="M27" s="6">
        <v>45379</v>
      </c>
      <c r="N27" s="1">
        <v>0</v>
      </c>
      <c r="T27" s="4"/>
    </row>
    <row r="28" spans="1:20" x14ac:dyDescent="0.3">
      <c r="A28" s="1" t="s">
        <v>3</v>
      </c>
      <c r="B28" s="2">
        <v>609</v>
      </c>
      <c r="C28" s="2" t="s">
        <v>1</v>
      </c>
      <c r="D28" s="6">
        <v>45372</v>
      </c>
      <c r="E28" s="6">
        <v>45449</v>
      </c>
      <c r="F28" s="3">
        <v>52.2</v>
      </c>
      <c r="G28" s="3">
        <v>68.2</v>
      </c>
      <c r="H28" s="3">
        <v>85.2</v>
      </c>
      <c r="I28" s="3">
        <v>147</v>
      </c>
      <c r="J28" s="1">
        <v>1</v>
      </c>
      <c r="K28" s="6">
        <v>45433</v>
      </c>
      <c r="L28" s="1">
        <v>1</v>
      </c>
      <c r="M28" s="6">
        <v>45449</v>
      </c>
      <c r="N28" s="1">
        <v>0</v>
      </c>
      <c r="P28" s="2">
        <v>80</v>
      </c>
      <c r="Q28" s="2">
        <v>141</v>
      </c>
      <c r="R28" s="2">
        <f t="shared" si="0"/>
        <v>61</v>
      </c>
      <c r="S28" s="4">
        <f>+(G28-F28)/F28</f>
        <v>0.3065134099616858</v>
      </c>
      <c r="T28" s="4">
        <f t="shared" si="4"/>
        <v>0.72535211267605626</v>
      </c>
    </row>
    <row r="29" spans="1:20" x14ac:dyDescent="0.3">
      <c r="A29" s="1" t="s">
        <v>4</v>
      </c>
      <c r="B29" s="2">
        <v>502</v>
      </c>
      <c r="C29" s="2" t="s">
        <v>1</v>
      </c>
      <c r="D29" s="6">
        <v>45373</v>
      </c>
      <c r="E29" s="6">
        <v>45407</v>
      </c>
      <c r="F29" s="3">
        <v>57.9</v>
      </c>
      <c r="G29" s="3" t="s">
        <v>19</v>
      </c>
      <c r="H29" s="3">
        <v>85.7</v>
      </c>
      <c r="I29" s="3" t="s">
        <v>19</v>
      </c>
      <c r="J29" s="1">
        <v>0</v>
      </c>
      <c r="K29" s="2" t="s">
        <v>19</v>
      </c>
      <c r="L29" s="1">
        <v>1</v>
      </c>
      <c r="M29" s="6">
        <v>45407</v>
      </c>
      <c r="N29" s="1">
        <v>0</v>
      </c>
      <c r="T29" s="4"/>
    </row>
    <row r="30" spans="1:20" x14ac:dyDescent="0.3">
      <c r="A30" s="1" t="s">
        <v>0</v>
      </c>
      <c r="B30" s="2">
        <v>611</v>
      </c>
      <c r="C30" s="2" t="s">
        <v>1</v>
      </c>
      <c r="D30" s="6">
        <v>45372</v>
      </c>
      <c r="E30" s="6">
        <v>45487</v>
      </c>
      <c r="F30" s="5">
        <v>52.9</v>
      </c>
      <c r="G30" s="3">
        <v>67.400000000000006</v>
      </c>
      <c r="H30" s="3">
        <v>62.5</v>
      </c>
      <c r="I30" s="3">
        <v>95</v>
      </c>
      <c r="J30" s="1">
        <v>1</v>
      </c>
      <c r="K30" s="6">
        <v>45397</v>
      </c>
      <c r="L30" s="1">
        <v>1</v>
      </c>
      <c r="M30" s="6">
        <v>45487</v>
      </c>
      <c r="N30" s="1">
        <v>0</v>
      </c>
      <c r="P30" s="2">
        <v>80</v>
      </c>
      <c r="Q30" s="2">
        <v>105</v>
      </c>
      <c r="R30" s="2">
        <f t="shared" si="0"/>
        <v>25</v>
      </c>
      <c r="S30" s="4">
        <f>+(G30-F30)/F30</f>
        <v>0.27410207939508519</v>
      </c>
      <c r="T30" s="4">
        <f t="shared" si="4"/>
        <v>0.52</v>
      </c>
    </row>
    <row r="31" spans="1:20" x14ac:dyDescent="0.3">
      <c r="A31" s="1" t="s">
        <v>3</v>
      </c>
      <c r="B31" s="2">
        <v>612</v>
      </c>
      <c r="C31" s="2" t="s">
        <v>1</v>
      </c>
      <c r="D31" s="6">
        <v>45372</v>
      </c>
      <c r="E31" s="6">
        <v>45434</v>
      </c>
      <c r="F31" s="3">
        <v>53.2</v>
      </c>
      <c r="G31" s="3" t="s">
        <v>19</v>
      </c>
      <c r="H31" s="3">
        <v>85</v>
      </c>
      <c r="I31" s="3" t="s">
        <v>19</v>
      </c>
      <c r="J31" s="1">
        <v>0</v>
      </c>
      <c r="K31" s="2" t="s">
        <v>19</v>
      </c>
      <c r="L31" s="1">
        <v>1</v>
      </c>
      <c r="M31" s="6">
        <v>45434</v>
      </c>
      <c r="N31" s="1">
        <v>0</v>
      </c>
      <c r="T31" s="4"/>
    </row>
    <row r="32" spans="1:20" x14ac:dyDescent="0.3">
      <c r="A32" s="1" t="s">
        <v>0</v>
      </c>
      <c r="B32" s="2">
        <v>613</v>
      </c>
      <c r="C32" s="2" t="s">
        <v>1</v>
      </c>
      <c r="D32" s="6">
        <v>45372</v>
      </c>
      <c r="E32" s="6">
        <v>45380</v>
      </c>
      <c r="F32" s="3">
        <v>53.6</v>
      </c>
      <c r="G32" s="3" t="s">
        <v>19</v>
      </c>
      <c r="H32" s="3">
        <v>74.3</v>
      </c>
      <c r="I32" s="3" t="s">
        <v>19</v>
      </c>
      <c r="J32" s="1">
        <v>0</v>
      </c>
      <c r="K32" s="2" t="s">
        <v>19</v>
      </c>
      <c r="L32" s="1">
        <v>1</v>
      </c>
      <c r="M32" s="6">
        <v>45380</v>
      </c>
      <c r="N32" s="1">
        <v>0</v>
      </c>
      <c r="T32" s="4"/>
    </row>
    <row r="33" spans="1:20" x14ac:dyDescent="0.3">
      <c r="A33" s="1" t="s">
        <v>3</v>
      </c>
      <c r="B33" s="2">
        <v>614</v>
      </c>
      <c r="C33" s="2" t="s">
        <v>1</v>
      </c>
      <c r="D33" s="6">
        <v>45372</v>
      </c>
      <c r="E33" s="6">
        <v>45501</v>
      </c>
      <c r="F33" s="3">
        <v>53.7</v>
      </c>
      <c r="G33" s="3">
        <v>69.599999999999994</v>
      </c>
      <c r="H33" s="3">
        <v>80.900000000000006</v>
      </c>
      <c r="I33" s="3">
        <v>141.19999999999999</v>
      </c>
      <c r="J33" s="1">
        <v>1</v>
      </c>
      <c r="K33" s="6">
        <v>45397</v>
      </c>
      <c r="L33" s="1">
        <v>0</v>
      </c>
      <c r="M33" s="6" t="s">
        <v>19</v>
      </c>
      <c r="N33" s="1">
        <v>0</v>
      </c>
      <c r="P33" s="2">
        <v>80</v>
      </c>
      <c r="Q33" s="2">
        <v>105</v>
      </c>
      <c r="R33" s="2">
        <f t="shared" si="0"/>
        <v>25</v>
      </c>
      <c r="S33" s="4">
        <f>+(G33-F33)/F33</f>
        <v>0.29608938547486013</v>
      </c>
      <c r="T33" s="4">
        <f t="shared" si="4"/>
        <v>0.74536464771322597</v>
      </c>
    </row>
    <row r="34" spans="1:20" x14ac:dyDescent="0.3">
      <c r="A34" s="1" t="s">
        <v>0</v>
      </c>
      <c r="B34" s="2">
        <v>615</v>
      </c>
      <c r="C34" s="2" t="s">
        <v>1</v>
      </c>
      <c r="D34" s="6">
        <v>45372</v>
      </c>
      <c r="E34" s="6">
        <v>45384</v>
      </c>
      <c r="F34" s="3">
        <v>53.8</v>
      </c>
      <c r="G34" s="3" t="s">
        <v>19</v>
      </c>
      <c r="H34" s="3">
        <v>75.8</v>
      </c>
      <c r="I34" s="3" t="s">
        <v>19</v>
      </c>
      <c r="J34" s="1">
        <v>0</v>
      </c>
      <c r="K34" s="2" t="s">
        <v>19</v>
      </c>
      <c r="L34" s="1">
        <v>1</v>
      </c>
      <c r="M34" s="6">
        <v>45384</v>
      </c>
      <c r="N34" s="1">
        <v>0</v>
      </c>
      <c r="T34" s="4"/>
    </row>
    <row r="35" spans="1:20" x14ac:dyDescent="0.3">
      <c r="A35" s="1" t="s">
        <v>3</v>
      </c>
      <c r="B35" s="2">
        <v>616</v>
      </c>
      <c r="C35" s="2" t="s">
        <v>1</v>
      </c>
      <c r="D35" s="6">
        <v>45372</v>
      </c>
      <c r="E35" s="6">
        <v>45390</v>
      </c>
      <c r="F35" s="3">
        <v>53.8</v>
      </c>
      <c r="G35" s="3" t="s">
        <v>19</v>
      </c>
      <c r="H35" s="3">
        <v>73.7</v>
      </c>
      <c r="I35" s="3" t="s">
        <v>19</v>
      </c>
      <c r="J35" s="1">
        <v>0</v>
      </c>
      <c r="K35" s="2" t="s">
        <v>19</v>
      </c>
      <c r="L35" s="1">
        <v>1</v>
      </c>
      <c r="M35" s="6">
        <v>45390</v>
      </c>
      <c r="N35" s="1">
        <v>0</v>
      </c>
      <c r="T35" s="4"/>
    </row>
    <row r="36" spans="1:20" x14ac:dyDescent="0.3">
      <c r="A36" s="1" t="s">
        <v>4</v>
      </c>
      <c r="B36" s="2">
        <v>617</v>
      </c>
      <c r="C36" s="2" t="s">
        <v>1</v>
      </c>
      <c r="D36" s="6">
        <v>45372</v>
      </c>
      <c r="E36" s="6">
        <v>45375</v>
      </c>
      <c r="F36" s="3">
        <v>54</v>
      </c>
      <c r="G36" s="3" t="s">
        <v>19</v>
      </c>
      <c r="H36" s="3">
        <v>77.8</v>
      </c>
      <c r="I36" s="3" t="s">
        <v>19</v>
      </c>
      <c r="J36" s="1">
        <v>0</v>
      </c>
      <c r="K36" s="2" t="s">
        <v>19</v>
      </c>
      <c r="L36" s="1">
        <v>1</v>
      </c>
      <c r="M36" s="6">
        <v>45375</v>
      </c>
      <c r="N36" s="1">
        <v>0</v>
      </c>
      <c r="T36" s="4"/>
    </row>
    <row r="37" spans="1:20" x14ac:dyDescent="0.3">
      <c r="A37" s="1" t="s">
        <v>4</v>
      </c>
      <c r="B37" s="2">
        <v>503</v>
      </c>
      <c r="C37" s="2" t="s">
        <v>1</v>
      </c>
      <c r="D37" s="6">
        <v>45375</v>
      </c>
      <c r="E37" s="6">
        <v>45455</v>
      </c>
      <c r="F37" s="3">
        <v>50</v>
      </c>
      <c r="G37" s="3">
        <v>60.8</v>
      </c>
      <c r="H37" s="3">
        <v>53.5</v>
      </c>
      <c r="I37" s="3">
        <v>83.7</v>
      </c>
      <c r="J37" s="1">
        <v>1</v>
      </c>
      <c r="K37" s="6">
        <v>45382</v>
      </c>
      <c r="L37" s="1">
        <v>1</v>
      </c>
      <c r="M37" s="6">
        <v>45455</v>
      </c>
      <c r="N37" s="1">
        <v>0</v>
      </c>
      <c r="P37" s="2">
        <v>83</v>
      </c>
      <c r="Q37" s="2">
        <v>90</v>
      </c>
      <c r="R37" s="2">
        <f t="shared" si="0"/>
        <v>7</v>
      </c>
      <c r="S37" s="4">
        <f>+(G37-F37)/F37</f>
        <v>0.21599999999999994</v>
      </c>
      <c r="T37" s="4">
        <f t="shared" si="4"/>
        <v>0.56448598130841132</v>
      </c>
    </row>
    <row r="38" spans="1:20" x14ac:dyDescent="0.3">
      <c r="A38" s="1" t="s">
        <v>3</v>
      </c>
      <c r="B38" s="2">
        <v>618</v>
      </c>
      <c r="C38" s="2" t="s">
        <v>1</v>
      </c>
      <c r="D38" s="6">
        <v>45372</v>
      </c>
      <c r="E38" s="6">
        <v>45379</v>
      </c>
      <c r="F38" s="3">
        <v>54</v>
      </c>
      <c r="G38" s="3" t="s">
        <v>19</v>
      </c>
      <c r="H38" s="3">
        <v>90.3</v>
      </c>
      <c r="I38" s="3" t="s">
        <v>19</v>
      </c>
      <c r="J38" s="1">
        <v>0</v>
      </c>
      <c r="K38" s="2" t="s">
        <v>19</v>
      </c>
      <c r="L38" s="1">
        <v>1</v>
      </c>
      <c r="M38" s="6">
        <v>45379</v>
      </c>
      <c r="N38" s="1">
        <v>0</v>
      </c>
      <c r="T38" s="4"/>
    </row>
    <row r="39" spans="1:20" x14ac:dyDescent="0.3">
      <c r="A39" s="1" t="s">
        <v>4</v>
      </c>
      <c r="B39" s="2">
        <v>619</v>
      </c>
      <c r="C39" s="2" t="s">
        <v>1</v>
      </c>
      <c r="D39" s="6">
        <v>45372</v>
      </c>
      <c r="E39" s="6">
        <v>45377</v>
      </c>
      <c r="F39" s="3">
        <v>54.2</v>
      </c>
      <c r="G39" s="3" t="s">
        <v>19</v>
      </c>
      <c r="H39" s="3">
        <v>72.2</v>
      </c>
      <c r="I39" s="3" t="s">
        <v>19</v>
      </c>
      <c r="J39" s="1">
        <v>0</v>
      </c>
      <c r="K39" s="2" t="s">
        <v>19</v>
      </c>
      <c r="L39" s="1">
        <v>1</v>
      </c>
      <c r="M39" s="6">
        <v>45377</v>
      </c>
      <c r="N39" s="1">
        <v>0</v>
      </c>
      <c r="T39" s="4"/>
    </row>
    <row r="40" spans="1:20" x14ac:dyDescent="0.3">
      <c r="A40" s="1" t="s">
        <v>0</v>
      </c>
      <c r="B40" s="2">
        <v>620</v>
      </c>
      <c r="C40" s="2" t="s">
        <v>1</v>
      </c>
      <c r="D40" s="6">
        <v>45372</v>
      </c>
      <c r="E40" s="6">
        <v>45405</v>
      </c>
      <c r="F40" s="3">
        <v>54.2</v>
      </c>
      <c r="G40" s="3" t="s">
        <v>19</v>
      </c>
      <c r="H40" s="3">
        <v>75</v>
      </c>
      <c r="I40" s="3" t="s">
        <v>19</v>
      </c>
      <c r="J40" s="1">
        <v>1</v>
      </c>
      <c r="K40" s="6">
        <v>45404</v>
      </c>
      <c r="L40" s="1">
        <v>1</v>
      </c>
      <c r="M40" s="6">
        <v>45405</v>
      </c>
      <c r="N40" s="1">
        <v>0</v>
      </c>
      <c r="P40" s="2">
        <v>80</v>
      </c>
      <c r="Q40" s="2">
        <v>112</v>
      </c>
      <c r="R40" s="2">
        <f t="shared" si="0"/>
        <v>32</v>
      </c>
      <c r="S40" s="4"/>
      <c r="T40" s="4"/>
    </row>
    <row r="41" spans="1:20" x14ac:dyDescent="0.3">
      <c r="A41" s="1" t="s">
        <v>4</v>
      </c>
      <c r="B41" s="2">
        <v>622</v>
      </c>
      <c r="C41" s="2" t="s">
        <v>1</v>
      </c>
      <c r="D41" s="6">
        <v>45372</v>
      </c>
      <c r="E41" s="6">
        <v>45384</v>
      </c>
      <c r="F41" s="3">
        <v>54.3</v>
      </c>
      <c r="G41" s="3" t="s">
        <v>19</v>
      </c>
      <c r="H41" s="3">
        <v>74.400000000000006</v>
      </c>
      <c r="I41" s="3" t="s">
        <v>19</v>
      </c>
      <c r="J41" s="1">
        <v>0</v>
      </c>
      <c r="K41" s="2" t="s">
        <v>19</v>
      </c>
      <c r="L41" s="1">
        <v>1</v>
      </c>
      <c r="M41" s="6">
        <v>45384</v>
      </c>
      <c r="N41" s="1">
        <v>0</v>
      </c>
      <c r="T41" s="4"/>
    </row>
    <row r="42" spans="1:20" x14ac:dyDescent="0.3">
      <c r="A42" s="1" t="s">
        <v>0</v>
      </c>
      <c r="B42" s="2">
        <v>623</v>
      </c>
      <c r="C42" s="2" t="s">
        <v>1</v>
      </c>
      <c r="D42" s="6">
        <v>45372</v>
      </c>
      <c r="E42" s="6">
        <v>45501</v>
      </c>
      <c r="F42" s="3">
        <v>54.3</v>
      </c>
      <c r="G42" s="3">
        <v>64.900000000000006</v>
      </c>
      <c r="H42" s="3">
        <v>80</v>
      </c>
      <c r="I42" s="3">
        <v>123</v>
      </c>
      <c r="J42" s="1">
        <v>1</v>
      </c>
      <c r="K42" s="6">
        <v>45386</v>
      </c>
      <c r="L42" s="1">
        <v>0</v>
      </c>
      <c r="M42" s="6" t="s">
        <v>19</v>
      </c>
      <c r="N42" s="1">
        <v>0</v>
      </c>
      <c r="P42" s="2">
        <v>80</v>
      </c>
      <c r="Q42" s="2">
        <v>94</v>
      </c>
      <c r="R42" s="2">
        <f t="shared" si="0"/>
        <v>14</v>
      </c>
      <c r="S42" s="4">
        <f t="shared" ref="S42:S73" si="6">+(G42-F42)/F42</f>
        <v>0.19521178637200753</v>
      </c>
      <c r="T42" s="4">
        <f t="shared" si="4"/>
        <v>0.53749999999999998</v>
      </c>
    </row>
    <row r="43" spans="1:20" x14ac:dyDescent="0.3">
      <c r="A43" s="1" t="s">
        <v>3</v>
      </c>
      <c r="B43" s="2">
        <v>624</v>
      </c>
      <c r="C43" s="2" t="s">
        <v>1</v>
      </c>
      <c r="D43" s="6">
        <v>45372</v>
      </c>
      <c r="E43" s="6">
        <v>45501</v>
      </c>
      <c r="F43" s="3">
        <v>54.7</v>
      </c>
      <c r="G43" s="3">
        <v>68.8</v>
      </c>
      <c r="H43" s="3">
        <v>79.599999999999994</v>
      </c>
      <c r="I43" s="3">
        <v>117.4</v>
      </c>
      <c r="J43" s="1">
        <v>1</v>
      </c>
      <c r="K43" s="6">
        <v>45427</v>
      </c>
      <c r="L43" s="1">
        <v>0</v>
      </c>
      <c r="M43" s="6" t="s">
        <v>19</v>
      </c>
      <c r="N43" s="1">
        <v>0</v>
      </c>
      <c r="P43" s="2">
        <v>80</v>
      </c>
      <c r="Q43" s="2">
        <v>135</v>
      </c>
      <c r="R43" s="2">
        <f t="shared" si="0"/>
        <v>55</v>
      </c>
      <c r="S43" s="4">
        <f t="shared" si="6"/>
        <v>0.25776965265082258</v>
      </c>
      <c r="T43" s="4">
        <f t="shared" si="4"/>
        <v>0.47487437185929665</v>
      </c>
    </row>
    <row r="44" spans="1:20" x14ac:dyDescent="0.3">
      <c r="A44" s="1" t="s">
        <v>0</v>
      </c>
      <c r="B44" s="2">
        <v>625</v>
      </c>
      <c r="C44" s="2" t="s">
        <v>1</v>
      </c>
      <c r="D44" s="6">
        <v>45372</v>
      </c>
      <c r="E44" s="6">
        <v>45439</v>
      </c>
      <c r="F44" s="3">
        <v>54.7</v>
      </c>
      <c r="G44" s="3">
        <v>64.7</v>
      </c>
      <c r="H44" s="3">
        <v>67.099999999999994</v>
      </c>
      <c r="I44" s="3">
        <v>108.1</v>
      </c>
      <c r="J44" s="1">
        <v>1</v>
      </c>
      <c r="K44" s="6">
        <v>45429</v>
      </c>
      <c r="L44" s="1">
        <v>1</v>
      </c>
      <c r="M44" s="6">
        <v>45439</v>
      </c>
      <c r="N44" s="1">
        <v>0</v>
      </c>
      <c r="P44" s="2">
        <v>80</v>
      </c>
      <c r="Q44" s="2">
        <v>137</v>
      </c>
      <c r="R44" s="2">
        <f t="shared" si="0"/>
        <v>57</v>
      </c>
      <c r="S44" s="4">
        <f t="shared" si="6"/>
        <v>0.18281535648994515</v>
      </c>
      <c r="T44" s="4">
        <f t="shared" si="4"/>
        <v>0.61102831594634877</v>
      </c>
    </row>
    <row r="45" spans="1:20" x14ac:dyDescent="0.3">
      <c r="A45" s="1" t="s">
        <v>0</v>
      </c>
      <c r="B45" s="2">
        <v>626</v>
      </c>
      <c r="C45" s="2" t="s">
        <v>1</v>
      </c>
      <c r="D45" s="6">
        <v>45372</v>
      </c>
      <c r="E45" s="6">
        <v>45403</v>
      </c>
      <c r="F45" s="3">
        <v>55.2</v>
      </c>
      <c r="G45" s="3" t="s">
        <v>19</v>
      </c>
      <c r="H45" s="3">
        <v>76.7</v>
      </c>
      <c r="I45" s="3" t="s">
        <v>19</v>
      </c>
      <c r="J45" s="1">
        <v>1</v>
      </c>
      <c r="K45" s="6">
        <v>45400</v>
      </c>
      <c r="L45" s="1">
        <v>1</v>
      </c>
      <c r="M45" s="6">
        <v>45403</v>
      </c>
      <c r="N45" s="1">
        <v>0</v>
      </c>
      <c r="P45" s="2">
        <v>80</v>
      </c>
      <c r="Q45" s="2">
        <v>108</v>
      </c>
      <c r="R45" s="2">
        <f t="shared" si="0"/>
        <v>28</v>
      </c>
      <c r="S45" s="4"/>
      <c r="T45" s="4"/>
    </row>
    <row r="46" spans="1:20" x14ac:dyDescent="0.3">
      <c r="A46" s="1" t="s">
        <v>3</v>
      </c>
      <c r="B46" s="2">
        <v>627</v>
      </c>
      <c r="C46" s="2" t="s">
        <v>1</v>
      </c>
      <c r="D46" s="6">
        <v>45372</v>
      </c>
      <c r="E46" s="6">
        <v>45501</v>
      </c>
      <c r="F46" s="3">
        <v>55.2</v>
      </c>
      <c r="G46" s="3">
        <v>66.900000000000006</v>
      </c>
      <c r="H46" s="3">
        <v>78.599999999999994</v>
      </c>
      <c r="I46" s="3">
        <v>130.1</v>
      </c>
      <c r="J46" s="1">
        <v>1</v>
      </c>
      <c r="K46" s="6">
        <v>45397</v>
      </c>
      <c r="L46" s="1">
        <v>0</v>
      </c>
      <c r="M46" s="6" t="s">
        <v>19</v>
      </c>
      <c r="N46" s="1">
        <v>0</v>
      </c>
      <c r="P46" s="2">
        <v>80</v>
      </c>
      <c r="Q46" s="2">
        <v>105</v>
      </c>
      <c r="R46" s="2">
        <f t="shared" si="0"/>
        <v>25</v>
      </c>
      <c r="S46" s="4">
        <f t="shared" si="6"/>
        <v>0.21195652173913049</v>
      </c>
      <c r="T46" s="4">
        <f t="shared" si="4"/>
        <v>0.65521628498727735</v>
      </c>
    </row>
    <row r="47" spans="1:20" x14ac:dyDescent="0.3">
      <c r="A47" s="1" t="s">
        <v>4</v>
      </c>
      <c r="B47" s="2">
        <v>628</v>
      </c>
      <c r="C47" s="2" t="s">
        <v>1</v>
      </c>
      <c r="D47" s="6">
        <v>45372</v>
      </c>
      <c r="E47" s="6">
        <v>45501</v>
      </c>
      <c r="F47" s="3">
        <v>55.3</v>
      </c>
      <c r="G47" s="3">
        <v>70.8</v>
      </c>
      <c r="H47" s="3">
        <v>78.3</v>
      </c>
      <c r="I47" s="3">
        <v>150.69999999999999</v>
      </c>
      <c r="J47" s="1">
        <v>1</v>
      </c>
      <c r="K47" s="6">
        <v>45400</v>
      </c>
      <c r="L47" s="1">
        <v>0</v>
      </c>
      <c r="M47" s="6" t="s">
        <v>19</v>
      </c>
      <c r="N47" s="1">
        <v>0</v>
      </c>
      <c r="P47" s="2">
        <v>80</v>
      </c>
      <c r="Q47" s="2">
        <v>108</v>
      </c>
      <c r="R47" s="2">
        <f t="shared" si="0"/>
        <v>28</v>
      </c>
      <c r="S47" s="4">
        <f t="shared" si="6"/>
        <v>0.28028933092224234</v>
      </c>
      <c r="T47" s="4">
        <f t="shared" si="4"/>
        <v>0.92464878671775219</v>
      </c>
    </row>
    <row r="48" spans="1:20" x14ac:dyDescent="0.3">
      <c r="A48" s="1" t="s">
        <v>3</v>
      </c>
      <c r="B48" s="2">
        <v>629</v>
      </c>
      <c r="C48" s="2" t="s">
        <v>1</v>
      </c>
      <c r="D48" s="6">
        <v>45372</v>
      </c>
      <c r="E48" s="6">
        <v>45501</v>
      </c>
      <c r="F48" s="3">
        <v>55.7</v>
      </c>
      <c r="G48" s="3">
        <v>71.599999999999994</v>
      </c>
      <c r="H48" s="3">
        <v>88.8</v>
      </c>
      <c r="I48" s="3">
        <v>158.6</v>
      </c>
      <c r="J48" s="1">
        <v>1</v>
      </c>
      <c r="K48" s="6">
        <v>45404</v>
      </c>
      <c r="L48" s="1">
        <v>0</v>
      </c>
      <c r="M48" s="6" t="s">
        <v>19</v>
      </c>
      <c r="N48" s="1">
        <v>0</v>
      </c>
      <c r="P48" s="2">
        <v>80</v>
      </c>
      <c r="Q48" s="2">
        <v>112</v>
      </c>
      <c r="R48" s="2">
        <f t="shared" si="0"/>
        <v>32</v>
      </c>
      <c r="S48" s="4">
        <f t="shared" si="6"/>
        <v>0.2854578096947934</v>
      </c>
      <c r="T48" s="4">
        <f t="shared" si="4"/>
        <v>0.786036036036036</v>
      </c>
    </row>
    <row r="49" spans="1:20" x14ac:dyDescent="0.3">
      <c r="A49" s="1" t="s">
        <v>4</v>
      </c>
      <c r="B49" s="2">
        <v>630</v>
      </c>
      <c r="C49" s="2" t="s">
        <v>1</v>
      </c>
      <c r="D49" s="6">
        <v>45372</v>
      </c>
      <c r="E49" s="6">
        <v>45386</v>
      </c>
      <c r="F49" s="3">
        <v>55.9</v>
      </c>
      <c r="G49" s="3" t="s">
        <v>19</v>
      </c>
      <c r="H49" s="3">
        <v>87.5</v>
      </c>
      <c r="I49" s="3" t="s">
        <v>19</v>
      </c>
      <c r="J49" s="1">
        <v>0</v>
      </c>
      <c r="K49" s="2" t="s">
        <v>19</v>
      </c>
      <c r="L49" s="1">
        <v>1</v>
      </c>
      <c r="M49" s="6">
        <v>45386</v>
      </c>
      <c r="N49" s="1">
        <v>0</v>
      </c>
      <c r="S49" s="4"/>
      <c r="T49" s="4"/>
    </row>
    <row r="50" spans="1:20" x14ac:dyDescent="0.3">
      <c r="A50" s="1" t="s">
        <v>3</v>
      </c>
      <c r="B50" s="2">
        <v>631</v>
      </c>
      <c r="C50" s="2" t="s">
        <v>1</v>
      </c>
      <c r="D50" s="6">
        <v>45372</v>
      </c>
      <c r="E50" s="6">
        <v>45501</v>
      </c>
      <c r="F50" s="5">
        <v>58.2</v>
      </c>
      <c r="G50" s="3">
        <v>70.8</v>
      </c>
      <c r="H50" s="3">
        <v>77.400000000000006</v>
      </c>
      <c r="I50" s="3">
        <v>130.1</v>
      </c>
      <c r="J50" s="1">
        <v>1</v>
      </c>
      <c r="K50" s="6">
        <v>45390</v>
      </c>
      <c r="L50" s="1">
        <v>0</v>
      </c>
      <c r="M50" s="6" t="s">
        <v>19</v>
      </c>
      <c r="N50" s="1">
        <v>0</v>
      </c>
      <c r="P50" s="2">
        <v>80</v>
      </c>
      <c r="Q50" s="2">
        <v>98</v>
      </c>
      <c r="R50" s="2">
        <f t="shared" si="0"/>
        <v>18</v>
      </c>
      <c r="S50" s="4">
        <f t="shared" si="6"/>
        <v>0.21649484536082464</v>
      </c>
      <c r="T50" s="4">
        <f t="shared" si="4"/>
        <v>0.68087855297157607</v>
      </c>
    </row>
    <row r="51" spans="1:20" x14ac:dyDescent="0.3">
      <c r="A51" s="1" t="s">
        <v>4</v>
      </c>
      <c r="B51" s="2">
        <v>632</v>
      </c>
      <c r="C51" s="2" t="s">
        <v>1</v>
      </c>
      <c r="D51" s="6">
        <v>45372</v>
      </c>
      <c r="E51" s="6">
        <v>45375</v>
      </c>
      <c r="F51" s="3">
        <v>56.7</v>
      </c>
      <c r="G51" s="3" t="s">
        <v>19</v>
      </c>
      <c r="H51" s="3">
        <v>84.4</v>
      </c>
      <c r="I51" s="3" t="s">
        <v>19</v>
      </c>
      <c r="J51" s="1">
        <v>0</v>
      </c>
      <c r="K51" s="2" t="s">
        <v>19</v>
      </c>
      <c r="L51" s="1">
        <v>1</v>
      </c>
      <c r="M51" s="6">
        <v>45375</v>
      </c>
      <c r="N51" s="1">
        <v>0</v>
      </c>
      <c r="S51" s="4"/>
      <c r="T51" s="4"/>
    </row>
    <row r="52" spans="1:20" x14ac:dyDescent="0.3">
      <c r="A52" s="1" t="s">
        <v>0</v>
      </c>
      <c r="B52" s="2">
        <v>633</v>
      </c>
      <c r="C52" s="2" t="s">
        <v>1</v>
      </c>
      <c r="D52" s="6">
        <v>45372</v>
      </c>
      <c r="E52" s="6">
        <v>45501</v>
      </c>
      <c r="F52" s="5">
        <v>59.3</v>
      </c>
      <c r="G52" s="3">
        <v>77.900000000000006</v>
      </c>
      <c r="H52" s="3">
        <v>81</v>
      </c>
      <c r="I52" s="3">
        <v>189.1</v>
      </c>
      <c r="J52" s="1">
        <v>1</v>
      </c>
      <c r="K52" s="6">
        <v>45416</v>
      </c>
      <c r="L52" s="1">
        <v>0</v>
      </c>
      <c r="M52" s="6" t="s">
        <v>19</v>
      </c>
      <c r="N52" s="1">
        <v>0</v>
      </c>
      <c r="P52" s="2">
        <v>80</v>
      </c>
      <c r="Q52" s="2">
        <v>124</v>
      </c>
      <c r="R52" s="2">
        <f t="shared" si="0"/>
        <v>44</v>
      </c>
      <c r="S52" s="4">
        <f t="shared" si="6"/>
        <v>0.31365935919055665</v>
      </c>
      <c r="T52" s="4">
        <f t="shared" si="4"/>
        <v>1.3345679012345679</v>
      </c>
    </row>
    <row r="53" spans="1:20" x14ac:dyDescent="0.3">
      <c r="A53" s="1" t="s">
        <v>4</v>
      </c>
      <c r="B53" s="2">
        <v>634</v>
      </c>
      <c r="C53" s="2" t="s">
        <v>1</v>
      </c>
      <c r="D53" s="6">
        <v>45372</v>
      </c>
      <c r="E53" s="6">
        <v>45405</v>
      </c>
      <c r="F53" s="3">
        <v>57.9</v>
      </c>
      <c r="G53" s="3" t="s">
        <v>19</v>
      </c>
      <c r="H53" s="3">
        <v>85.2</v>
      </c>
      <c r="I53" s="3" t="s">
        <v>19</v>
      </c>
      <c r="J53" s="1">
        <v>1</v>
      </c>
      <c r="K53" s="6">
        <v>45403</v>
      </c>
      <c r="L53" s="1">
        <v>1</v>
      </c>
      <c r="M53" s="6">
        <v>45405</v>
      </c>
      <c r="N53" s="1">
        <v>0</v>
      </c>
      <c r="P53" s="2">
        <v>80</v>
      </c>
      <c r="Q53" s="2">
        <v>111</v>
      </c>
      <c r="R53" s="2">
        <f t="shared" si="0"/>
        <v>31</v>
      </c>
      <c r="S53" s="4"/>
      <c r="T53" s="4"/>
    </row>
    <row r="54" spans="1:20" x14ac:dyDescent="0.3">
      <c r="A54" s="1" t="s">
        <v>4</v>
      </c>
      <c r="B54" s="2">
        <v>635</v>
      </c>
      <c r="C54" s="2" t="s">
        <v>1</v>
      </c>
      <c r="D54" s="6">
        <v>45372</v>
      </c>
      <c r="E54" s="6">
        <v>45501</v>
      </c>
      <c r="F54" s="3">
        <v>58.2</v>
      </c>
      <c r="G54" s="3">
        <v>73</v>
      </c>
      <c r="H54" s="3">
        <v>87.3</v>
      </c>
      <c r="I54" s="3">
        <v>168</v>
      </c>
      <c r="J54" s="1">
        <v>1</v>
      </c>
      <c r="K54" s="6">
        <v>45416</v>
      </c>
      <c r="L54" s="1">
        <v>0</v>
      </c>
      <c r="M54" s="6" t="s">
        <v>19</v>
      </c>
      <c r="N54" s="1">
        <v>0</v>
      </c>
      <c r="P54" s="2">
        <v>80</v>
      </c>
      <c r="Q54" s="2">
        <v>124</v>
      </c>
      <c r="R54" s="2">
        <f t="shared" si="0"/>
        <v>44</v>
      </c>
      <c r="S54" s="4">
        <f t="shared" si="6"/>
        <v>0.25429553264604804</v>
      </c>
      <c r="T54" s="4">
        <f t="shared" si="4"/>
        <v>0.92439862542955331</v>
      </c>
    </row>
    <row r="55" spans="1:20" x14ac:dyDescent="0.3">
      <c r="A55" s="1" t="s">
        <v>0</v>
      </c>
      <c r="B55" s="2">
        <v>702</v>
      </c>
      <c r="C55" s="2" t="s">
        <v>1</v>
      </c>
      <c r="D55" s="6">
        <v>45397</v>
      </c>
      <c r="E55" s="6">
        <v>45501</v>
      </c>
      <c r="F55" s="3">
        <v>48.7</v>
      </c>
      <c r="G55" s="3">
        <v>59.9</v>
      </c>
      <c r="H55" s="3">
        <v>55.6</v>
      </c>
      <c r="I55" s="3">
        <v>89.6</v>
      </c>
      <c r="J55" s="1">
        <v>1</v>
      </c>
      <c r="K55" s="6">
        <v>45420</v>
      </c>
      <c r="L55" s="1">
        <v>0</v>
      </c>
      <c r="M55" s="6" t="s">
        <v>19</v>
      </c>
      <c r="N55" s="1">
        <v>0</v>
      </c>
      <c r="P55" s="2">
        <v>105</v>
      </c>
      <c r="Q55" s="2">
        <v>128</v>
      </c>
      <c r="R55" s="2">
        <f t="shared" si="0"/>
        <v>23</v>
      </c>
      <c r="S55" s="4">
        <f t="shared" si="6"/>
        <v>0.22997946611909642</v>
      </c>
      <c r="T55" s="4">
        <f t="shared" si="4"/>
        <v>0.61151079136690634</v>
      </c>
    </row>
    <row r="56" spans="1:20" x14ac:dyDescent="0.3">
      <c r="A56" s="1" t="s">
        <v>0</v>
      </c>
      <c r="B56" s="2">
        <v>703</v>
      </c>
      <c r="C56" s="2" t="s">
        <v>1</v>
      </c>
      <c r="D56" s="6">
        <v>45397</v>
      </c>
      <c r="E56" s="6">
        <v>45501</v>
      </c>
      <c r="F56" s="3">
        <v>42.8</v>
      </c>
      <c r="G56" s="3">
        <v>54.3</v>
      </c>
      <c r="H56" s="3">
        <v>38.6</v>
      </c>
      <c r="I56" s="3">
        <v>67.599999999999994</v>
      </c>
      <c r="J56" s="1">
        <v>1</v>
      </c>
      <c r="K56" s="6">
        <v>45400</v>
      </c>
      <c r="L56" s="1">
        <v>0</v>
      </c>
      <c r="M56" s="6" t="s">
        <v>19</v>
      </c>
      <c r="N56" s="1">
        <v>0</v>
      </c>
      <c r="P56" s="2">
        <v>105</v>
      </c>
      <c r="Q56" s="2">
        <v>108</v>
      </c>
      <c r="R56" s="2">
        <f t="shared" si="0"/>
        <v>3</v>
      </c>
      <c r="S56" s="4">
        <f t="shared" si="6"/>
        <v>0.26869158878504673</v>
      </c>
      <c r="T56" s="4">
        <f t="shared" si="4"/>
        <v>0.75129533678756455</v>
      </c>
    </row>
    <row r="57" spans="1:20" x14ac:dyDescent="0.3">
      <c r="A57" s="1" t="s">
        <v>0</v>
      </c>
      <c r="B57" s="2">
        <v>704</v>
      </c>
      <c r="C57" s="2" t="s">
        <v>1</v>
      </c>
      <c r="D57" s="6">
        <v>45397</v>
      </c>
      <c r="E57" s="6">
        <v>45427</v>
      </c>
      <c r="F57" s="3">
        <v>48.6</v>
      </c>
      <c r="G57" s="3">
        <v>62.4</v>
      </c>
      <c r="H57" s="3">
        <v>48.3</v>
      </c>
      <c r="I57" s="3">
        <v>87.1</v>
      </c>
      <c r="J57" s="1">
        <v>1</v>
      </c>
      <c r="K57" s="6">
        <v>45418</v>
      </c>
      <c r="L57" s="1">
        <v>1</v>
      </c>
      <c r="M57" s="6">
        <v>45427</v>
      </c>
      <c r="N57" s="1">
        <v>0</v>
      </c>
      <c r="P57" s="2">
        <v>105</v>
      </c>
      <c r="Q57" s="2">
        <v>126</v>
      </c>
      <c r="R57" s="2">
        <f t="shared" si="0"/>
        <v>21</v>
      </c>
      <c r="S57" s="4">
        <f t="shared" si="6"/>
        <v>0.28395061728395055</v>
      </c>
      <c r="T57" s="4">
        <f t="shared" si="4"/>
        <v>0.80331262939958592</v>
      </c>
    </row>
    <row r="58" spans="1:20" x14ac:dyDescent="0.3">
      <c r="A58" s="1" t="s">
        <v>3</v>
      </c>
      <c r="B58" s="2">
        <v>706</v>
      </c>
      <c r="C58" s="2" t="s">
        <v>1</v>
      </c>
      <c r="D58" s="6">
        <v>45397</v>
      </c>
      <c r="E58" s="6">
        <v>45459</v>
      </c>
      <c r="F58" s="3">
        <v>55.8</v>
      </c>
      <c r="G58" s="3">
        <v>71.5</v>
      </c>
      <c r="H58" s="3">
        <v>87.9</v>
      </c>
      <c r="I58" s="3">
        <v>163</v>
      </c>
      <c r="J58" s="1">
        <v>1</v>
      </c>
      <c r="K58" s="6">
        <v>45441</v>
      </c>
      <c r="L58" s="1">
        <v>1</v>
      </c>
      <c r="M58" s="6">
        <v>45459</v>
      </c>
      <c r="N58" s="1">
        <v>0</v>
      </c>
      <c r="P58" s="2">
        <v>105</v>
      </c>
      <c r="Q58" s="2">
        <v>149</v>
      </c>
      <c r="R58" s="2">
        <f t="shared" si="0"/>
        <v>44</v>
      </c>
      <c r="S58" s="4">
        <f t="shared" si="6"/>
        <v>0.28136200716845883</v>
      </c>
      <c r="T58" s="4">
        <f t="shared" si="4"/>
        <v>0.85437997724687131</v>
      </c>
    </row>
    <row r="59" spans="1:20" x14ac:dyDescent="0.3">
      <c r="A59" s="1" t="s">
        <v>4</v>
      </c>
      <c r="B59" s="2">
        <v>707</v>
      </c>
      <c r="C59" s="2" t="s">
        <v>1</v>
      </c>
      <c r="D59" s="6">
        <v>45397</v>
      </c>
      <c r="E59" s="6">
        <v>45501</v>
      </c>
      <c r="F59" s="3">
        <v>46.4</v>
      </c>
      <c r="G59" s="3">
        <v>56.7</v>
      </c>
      <c r="H59" s="3">
        <v>48</v>
      </c>
      <c r="I59" s="3">
        <v>77.7</v>
      </c>
      <c r="J59" s="1">
        <v>1</v>
      </c>
      <c r="K59" s="6">
        <v>45411</v>
      </c>
      <c r="L59" s="1">
        <v>0</v>
      </c>
      <c r="M59" s="6" t="s">
        <v>19</v>
      </c>
      <c r="N59" s="1">
        <v>0</v>
      </c>
      <c r="P59" s="2">
        <v>105</v>
      </c>
      <c r="Q59" s="2">
        <v>119</v>
      </c>
      <c r="R59" s="2">
        <f t="shared" si="0"/>
        <v>14</v>
      </c>
      <c r="S59" s="4">
        <f t="shared" si="6"/>
        <v>0.22198275862068975</v>
      </c>
      <c r="T59" s="4">
        <f t="shared" si="4"/>
        <v>0.61875000000000002</v>
      </c>
    </row>
    <row r="60" spans="1:20" x14ac:dyDescent="0.3">
      <c r="A60" s="1" t="s">
        <v>4</v>
      </c>
      <c r="B60" s="2">
        <v>708</v>
      </c>
      <c r="C60" s="2" t="s">
        <v>1</v>
      </c>
      <c r="D60" s="6">
        <v>45397</v>
      </c>
      <c r="E60" s="6">
        <v>45453</v>
      </c>
      <c r="F60" s="3">
        <v>52.6</v>
      </c>
      <c r="G60" s="3" t="s">
        <v>19</v>
      </c>
      <c r="H60" s="3">
        <v>65.099999999999994</v>
      </c>
      <c r="I60" s="3" t="s">
        <v>19</v>
      </c>
      <c r="J60" s="1">
        <v>0</v>
      </c>
      <c r="K60" s="2" t="s">
        <v>19</v>
      </c>
      <c r="L60" s="1">
        <v>1</v>
      </c>
      <c r="M60" s="6">
        <v>45453</v>
      </c>
      <c r="N60" s="1">
        <v>0</v>
      </c>
      <c r="T60" s="4"/>
    </row>
    <row r="61" spans="1:20" x14ac:dyDescent="0.3">
      <c r="A61" s="1" t="s">
        <v>4</v>
      </c>
      <c r="B61" s="2">
        <v>709</v>
      </c>
      <c r="C61" s="2" t="s">
        <v>1</v>
      </c>
      <c r="D61" s="6">
        <v>45397</v>
      </c>
      <c r="E61" s="6">
        <v>45501</v>
      </c>
      <c r="F61" s="3">
        <v>47.2</v>
      </c>
      <c r="G61" s="3">
        <v>62.9</v>
      </c>
      <c r="H61" s="3">
        <v>46.1</v>
      </c>
      <c r="I61" s="3">
        <v>97.3</v>
      </c>
      <c r="J61" s="1">
        <v>1</v>
      </c>
      <c r="K61" s="6">
        <v>45425</v>
      </c>
      <c r="L61" s="1">
        <v>0</v>
      </c>
      <c r="M61" s="6" t="s">
        <v>19</v>
      </c>
      <c r="N61" s="1">
        <v>0</v>
      </c>
      <c r="P61" s="2">
        <v>105</v>
      </c>
      <c r="Q61" s="2">
        <v>133</v>
      </c>
      <c r="R61" s="2">
        <f t="shared" si="0"/>
        <v>28</v>
      </c>
      <c r="S61" s="4">
        <f t="shared" si="6"/>
        <v>0.33262711864406769</v>
      </c>
      <c r="T61" s="4">
        <f t="shared" si="4"/>
        <v>1.1106290672451191</v>
      </c>
    </row>
    <row r="62" spans="1:20" x14ac:dyDescent="0.3">
      <c r="A62" s="1" t="s">
        <v>4</v>
      </c>
      <c r="B62" s="2">
        <v>710</v>
      </c>
      <c r="C62" s="2" t="s">
        <v>1</v>
      </c>
      <c r="D62" s="6">
        <v>45397</v>
      </c>
      <c r="E62" s="6">
        <v>45425</v>
      </c>
      <c r="F62" s="3">
        <v>49.3</v>
      </c>
      <c r="G62" s="3">
        <v>60.3</v>
      </c>
      <c r="H62" s="3">
        <v>53.4</v>
      </c>
      <c r="I62" s="3">
        <v>94.1</v>
      </c>
      <c r="J62" s="1">
        <v>1</v>
      </c>
      <c r="K62" s="6">
        <v>45420</v>
      </c>
      <c r="L62" s="1">
        <v>1</v>
      </c>
      <c r="M62" s="6">
        <v>45425</v>
      </c>
      <c r="N62" s="1">
        <v>0</v>
      </c>
      <c r="P62" s="2">
        <v>105</v>
      </c>
      <c r="Q62" s="2">
        <v>128</v>
      </c>
      <c r="R62" s="2">
        <f t="shared" si="0"/>
        <v>23</v>
      </c>
      <c r="S62" s="4">
        <f t="shared" si="6"/>
        <v>0.22312373225152132</v>
      </c>
      <c r="T62" s="4">
        <f t="shared" si="4"/>
        <v>0.76217228464419473</v>
      </c>
    </row>
    <row r="63" spans="1:20" x14ac:dyDescent="0.3">
      <c r="A63" s="1" t="s">
        <v>3</v>
      </c>
      <c r="B63" s="2">
        <v>711</v>
      </c>
      <c r="C63" s="2" t="s">
        <v>1</v>
      </c>
      <c r="D63" s="6">
        <v>45397</v>
      </c>
      <c r="E63" s="6">
        <v>45501</v>
      </c>
      <c r="F63" s="3">
        <v>55.5</v>
      </c>
      <c r="G63" s="3">
        <v>75.8</v>
      </c>
      <c r="H63" s="3">
        <v>78.7</v>
      </c>
      <c r="I63" s="3">
        <v>162.4</v>
      </c>
      <c r="J63" s="1">
        <v>1</v>
      </c>
      <c r="K63" s="6">
        <v>45436</v>
      </c>
      <c r="L63" s="1">
        <v>0</v>
      </c>
      <c r="M63" s="6" t="s">
        <v>19</v>
      </c>
      <c r="N63" s="1">
        <v>0</v>
      </c>
      <c r="P63" s="2">
        <v>105</v>
      </c>
      <c r="Q63" s="2">
        <v>144</v>
      </c>
      <c r="R63" s="2">
        <f t="shared" si="0"/>
        <v>39</v>
      </c>
      <c r="S63" s="4">
        <f t="shared" si="6"/>
        <v>0.36576576576576569</v>
      </c>
      <c r="T63" s="4">
        <f t="shared" si="4"/>
        <v>1.0635324015247776</v>
      </c>
    </row>
    <row r="64" spans="1:20" x14ac:dyDescent="0.3">
      <c r="A64" s="1" t="s">
        <v>0</v>
      </c>
      <c r="B64" s="2">
        <v>712</v>
      </c>
      <c r="C64" s="2" t="s">
        <v>1</v>
      </c>
      <c r="D64" s="6">
        <v>45400</v>
      </c>
      <c r="E64" s="6">
        <v>45411</v>
      </c>
      <c r="F64" s="3">
        <v>51.4</v>
      </c>
      <c r="G64" s="3" t="s">
        <v>19</v>
      </c>
      <c r="H64" s="3">
        <v>57.4</v>
      </c>
      <c r="I64" s="3" t="s">
        <v>19</v>
      </c>
      <c r="J64" s="1">
        <v>0</v>
      </c>
      <c r="K64" s="2" t="s">
        <v>19</v>
      </c>
      <c r="L64" s="1">
        <v>1</v>
      </c>
      <c r="M64" s="6">
        <v>45411</v>
      </c>
      <c r="N64" s="1">
        <v>0</v>
      </c>
      <c r="S64" s="4"/>
      <c r="T64" s="4"/>
    </row>
    <row r="65" spans="1:20" x14ac:dyDescent="0.3">
      <c r="A65" s="1" t="s">
        <v>3</v>
      </c>
      <c r="B65" s="2">
        <v>713</v>
      </c>
      <c r="C65" s="2" t="s">
        <v>1</v>
      </c>
      <c r="D65" s="6">
        <v>45400</v>
      </c>
      <c r="E65" s="6">
        <v>45474</v>
      </c>
      <c r="F65" s="5">
        <v>49</v>
      </c>
      <c r="G65" s="3">
        <v>59.7</v>
      </c>
      <c r="H65" s="3">
        <v>59.1</v>
      </c>
      <c r="I65" s="3">
        <v>86.7</v>
      </c>
      <c r="J65" s="1">
        <v>1</v>
      </c>
      <c r="K65" s="6">
        <v>45401</v>
      </c>
      <c r="L65" s="1">
        <v>1</v>
      </c>
      <c r="M65" s="6">
        <v>45474</v>
      </c>
      <c r="N65" s="1">
        <v>0</v>
      </c>
      <c r="P65" s="2">
        <v>108</v>
      </c>
      <c r="Q65" s="2">
        <v>109</v>
      </c>
      <c r="R65" s="2">
        <f t="shared" si="0"/>
        <v>1</v>
      </c>
      <c r="S65" s="4">
        <f t="shared" si="6"/>
        <v>0.21836734693877558</v>
      </c>
      <c r="T65" s="4">
        <f t="shared" si="4"/>
        <v>0.46700507614213199</v>
      </c>
    </row>
    <row r="66" spans="1:20" x14ac:dyDescent="0.3">
      <c r="A66" s="1" t="s">
        <v>3</v>
      </c>
      <c r="B66" s="2">
        <v>714</v>
      </c>
      <c r="C66" s="2" t="s">
        <v>1</v>
      </c>
      <c r="D66" s="6">
        <v>45401</v>
      </c>
      <c r="E66" s="6">
        <v>45483</v>
      </c>
      <c r="F66" s="3">
        <v>52</v>
      </c>
      <c r="G66" s="3">
        <v>65.900000000000006</v>
      </c>
      <c r="H66" s="3">
        <v>59.5</v>
      </c>
      <c r="I66" s="3">
        <v>107.8</v>
      </c>
      <c r="J66" s="1">
        <v>1</v>
      </c>
      <c r="K66" s="6">
        <v>45413</v>
      </c>
      <c r="L66" s="1">
        <v>1</v>
      </c>
      <c r="M66" s="6">
        <v>45483</v>
      </c>
      <c r="N66" s="1">
        <v>0</v>
      </c>
      <c r="P66" s="2">
        <v>109</v>
      </c>
      <c r="Q66" s="2">
        <v>121</v>
      </c>
      <c r="R66" s="2">
        <f t="shared" si="0"/>
        <v>12</v>
      </c>
      <c r="S66" s="4">
        <f t="shared" si="6"/>
        <v>0.26730769230769241</v>
      </c>
      <c r="T66" s="4">
        <f t="shared" si="4"/>
        <v>0.81176470588235294</v>
      </c>
    </row>
    <row r="67" spans="1:20" x14ac:dyDescent="0.3">
      <c r="A67" s="1" t="s">
        <v>0</v>
      </c>
      <c r="B67" s="2">
        <v>715</v>
      </c>
      <c r="C67" s="2" t="s">
        <v>1</v>
      </c>
      <c r="D67" s="6">
        <v>45405</v>
      </c>
      <c r="E67" s="6">
        <v>45432</v>
      </c>
      <c r="F67" s="3">
        <v>54.9</v>
      </c>
      <c r="G67" s="3">
        <v>66.3</v>
      </c>
      <c r="H67" s="3" t="s">
        <v>19</v>
      </c>
      <c r="I67" s="3">
        <v>95.9</v>
      </c>
      <c r="J67" s="1">
        <v>1</v>
      </c>
      <c r="K67" s="6">
        <v>45405</v>
      </c>
      <c r="L67" s="1">
        <v>1</v>
      </c>
      <c r="M67" s="6">
        <v>45432</v>
      </c>
      <c r="N67" s="1">
        <v>0</v>
      </c>
      <c r="S67" s="4"/>
      <c r="T67" s="4"/>
    </row>
    <row r="68" spans="1:20" x14ac:dyDescent="0.3">
      <c r="A68" s="1" t="s">
        <v>0</v>
      </c>
      <c r="B68" s="2">
        <v>716</v>
      </c>
      <c r="C68" s="2" t="s">
        <v>1</v>
      </c>
      <c r="D68" s="6">
        <v>45405</v>
      </c>
      <c r="E68" s="6">
        <v>45501</v>
      </c>
      <c r="F68" s="3">
        <v>53.2</v>
      </c>
      <c r="G68" s="3">
        <v>65.900000000000006</v>
      </c>
      <c r="H68" s="3">
        <v>70.5</v>
      </c>
      <c r="I68" s="3">
        <v>119.4</v>
      </c>
      <c r="J68" s="1">
        <v>1</v>
      </c>
      <c r="K68" s="6">
        <v>45411</v>
      </c>
      <c r="L68" s="1">
        <v>0</v>
      </c>
      <c r="M68" s="6" t="s">
        <v>19</v>
      </c>
      <c r="N68" s="1">
        <v>0</v>
      </c>
      <c r="P68" s="2">
        <v>113</v>
      </c>
      <c r="Q68" s="2">
        <v>119</v>
      </c>
      <c r="R68" s="2">
        <f t="shared" si="0"/>
        <v>6</v>
      </c>
      <c r="S68" s="4">
        <f t="shared" si="6"/>
        <v>0.23872180451127822</v>
      </c>
      <c r="T68" s="4">
        <f t="shared" si="4"/>
        <v>0.69361702127659586</v>
      </c>
    </row>
    <row r="69" spans="1:20" x14ac:dyDescent="0.3">
      <c r="A69" s="1" t="s">
        <v>0</v>
      </c>
      <c r="B69" s="2">
        <v>717</v>
      </c>
      <c r="C69" s="2" t="s">
        <v>1</v>
      </c>
      <c r="D69" s="6">
        <v>45405</v>
      </c>
      <c r="E69" s="6">
        <v>45455</v>
      </c>
      <c r="F69" s="3">
        <v>65.2</v>
      </c>
      <c r="G69" s="3" t="s">
        <v>19</v>
      </c>
      <c r="H69" s="3">
        <v>104.9</v>
      </c>
      <c r="I69" s="3" t="s">
        <v>19</v>
      </c>
      <c r="J69" s="1">
        <v>0</v>
      </c>
      <c r="K69" s="2" t="s">
        <v>19</v>
      </c>
      <c r="L69" s="1">
        <v>1</v>
      </c>
      <c r="M69" s="6">
        <v>45455</v>
      </c>
      <c r="N69" s="1">
        <v>0</v>
      </c>
      <c r="S69" s="4"/>
      <c r="T69" s="4"/>
    </row>
    <row r="70" spans="1:20" x14ac:dyDescent="0.3">
      <c r="A70" s="1" t="s">
        <v>3</v>
      </c>
      <c r="B70" s="2">
        <v>718</v>
      </c>
      <c r="C70" s="2" t="s">
        <v>1</v>
      </c>
      <c r="D70" s="6">
        <v>45405</v>
      </c>
      <c r="E70" s="6">
        <v>45497</v>
      </c>
      <c r="F70" s="3">
        <v>57.1</v>
      </c>
      <c r="G70" s="3">
        <v>64.2</v>
      </c>
      <c r="H70" s="3" t="s">
        <v>19</v>
      </c>
      <c r="I70" s="3">
        <v>110.3</v>
      </c>
      <c r="J70" s="1">
        <v>1</v>
      </c>
      <c r="K70" s="6">
        <v>45405</v>
      </c>
      <c r="L70" s="1">
        <v>1</v>
      </c>
      <c r="M70" s="6">
        <v>45497</v>
      </c>
      <c r="N70" s="1">
        <v>0</v>
      </c>
      <c r="S70" s="4"/>
      <c r="T70" s="4"/>
    </row>
    <row r="71" spans="1:20" x14ac:dyDescent="0.3">
      <c r="A71" s="1" t="s">
        <v>4</v>
      </c>
      <c r="B71" s="2">
        <v>719</v>
      </c>
      <c r="C71" s="2" t="s">
        <v>1</v>
      </c>
      <c r="D71" s="6">
        <v>45405</v>
      </c>
      <c r="E71" s="6">
        <v>45490</v>
      </c>
      <c r="F71" s="3">
        <v>54.7</v>
      </c>
      <c r="G71" s="3">
        <v>65.900000000000006</v>
      </c>
      <c r="H71" s="3">
        <v>71.599999999999994</v>
      </c>
      <c r="I71" s="3">
        <v>111.4</v>
      </c>
      <c r="J71" s="1">
        <v>1</v>
      </c>
      <c r="K71" s="6">
        <v>45407</v>
      </c>
      <c r="L71" s="1">
        <v>1</v>
      </c>
      <c r="M71" s="6">
        <v>45490</v>
      </c>
      <c r="N71" s="1">
        <v>0</v>
      </c>
      <c r="P71" s="2">
        <v>113</v>
      </c>
      <c r="Q71" s="2">
        <v>115</v>
      </c>
      <c r="R71" s="2">
        <f t="shared" ref="R71:R73" si="7">+Q71-P71</f>
        <v>2</v>
      </c>
      <c r="S71" s="4">
        <f t="shared" si="6"/>
        <v>0.20475319926873861</v>
      </c>
      <c r="T71" s="4">
        <f t="shared" si="4"/>
        <v>0.55586592178770966</v>
      </c>
    </row>
    <row r="72" spans="1:20" x14ac:dyDescent="0.3">
      <c r="A72" s="1" t="s">
        <v>3</v>
      </c>
      <c r="B72" s="2">
        <v>801</v>
      </c>
      <c r="C72" s="2" t="s">
        <v>1</v>
      </c>
      <c r="D72" s="6">
        <v>45418</v>
      </c>
      <c r="E72" s="6">
        <v>45476</v>
      </c>
      <c r="F72" s="3">
        <v>51.3</v>
      </c>
      <c r="G72" s="3">
        <v>62.8</v>
      </c>
      <c r="H72" s="3">
        <v>65.599999999999994</v>
      </c>
      <c r="I72" s="3">
        <v>109.9</v>
      </c>
      <c r="J72" s="1">
        <v>1</v>
      </c>
      <c r="K72" s="6">
        <v>45439</v>
      </c>
      <c r="L72" s="1">
        <v>1</v>
      </c>
      <c r="M72" s="6">
        <v>45476</v>
      </c>
      <c r="N72" s="1">
        <v>0</v>
      </c>
      <c r="P72" s="2">
        <v>126</v>
      </c>
      <c r="Q72" s="2">
        <v>147</v>
      </c>
      <c r="R72" s="2">
        <f t="shared" si="7"/>
        <v>21</v>
      </c>
      <c r="S72" s="4">
        <f t="shared" si="6"/>
        <v>0.22417153996101366</v>
      </c>
      <c r="T72" s="4">
        <f t="shared" si="4"/>
        <v>0.6753048780487807</v>
      </c>
    </row>
    <row r="73" spans="1:20" x14ac:dyDescent="0.3">
      <c r="A73" s="1" t="s">
        <v>4</v>
      </c>
      <c r="B73" s="2">
        <v>802</v>
      </c>
      <c r="C73" s="2" t="s">
        <v>1</v>
      </c>
      <c r="D73" s="6">
        <v>45418</v>
      </c>
      <c r="E73" s="6">
        <v>45492</v>
      </c>
      <c r="F73" s="3">
        <v>61.1</v>
      </c>
      <c r="G73" s="3">
        <v>77.5</v>
      </c>
      <c r="H73" s="3">
        <v>98.4</v>
      </c>
      <c r="I73" s="3">
        <v>205.3</v>
      </c>
      <c r="J73" s="1">
        <v>1</v>
      </c>
      <c r="K73" s="6">
        <v>45478</v>
      </c>
      <c r="L73" s="1">
        <v>1</v>
      </c>
      <c r="M73" s="6">
        <v>45492</v>
      </c>
      <c r="N73" s="1">
        <v>0</v>
      </c>
      <c r="P73" s="2">
        <v>126</v>
      </c>
      <c r="Q73" s="2">
        <v>186</v>
      </c>
      <c r="R73" s="2">
        <f t="shared" si="7"/>
        <v>60</v>
      </c>
      <c r="S73" s="4">
        <f t="shared" si="6"/>
        <v>0.26841243862520453</v>
      </c>
      <c r="T73" s="4">
        <f t="shared" si="4"/>
        <v>1.0863821138211383</v>
      </c>
    </row>
    <row r="74" spans="1:20" x14ac:dyDescent="0.3">
      <c r="A74" s="1" t="s">
        <v>0</v>
      </c>
      <c r="B74" s="2">
        <v>804</v>
      </c>
      <c r="C74" s="2" t="s">
        <v>1</v>
      </c>
      <c r="D74" s="6">
        <v>45423</v>
      </c>
      <c r="E74" s="6">
        <v>45501</v>
      </c>
      <c r="F74" s="3">
        <v>62.2</v>
      </c>
      <c r="G74" s="3" t="s">
        <v>19</v>
      </c>
      <c r="H74" s="3">
        <v>106.8</v>
      </c>
      <c r="I74" s="3" t="s">
        <v>19</v>
      </c>
      <c r="J74" s="1">
        <v>0</v>
      </c>
      <c r="K74" s="2" t="s">
        <v>19</v>
      </c>
      <c r="L74" s="1">
        <v>0</v>
      </c>
      <c r="M74" s="6" t="s">
        <v>19</v>
      </c>
      <c r="N74" s="1">
        <v>0</v>
      </c>
    </row>
    <row r="75" spans="1:20" x14ac:dyDescent="0.3">
      <c r="A75" s="1" t="s">
        <v>4</v>
      </c>
      <c r="B75" s="2">
        <v>805</v>
      </c>
      <c r="C75" s="2" t="s">
        <v>1</v>
      </c>
      <c r="D75" s="6">
        <v>45425</v>
      </c>
      <c r="E75" s="6">
        <v>45436</v>
      </c>
      <c r="F75" s="3">
        <v>62</v>
      </c>
      <c r="G75" s="3" t="s">
        <v>19</v>
      </c>
      <c r="H75" s="3">
        <v>106.3</v>
      </c>
      <c r="I75" s="3" t="s">
        <v>19</v>
      </c>
      <c r="J75" s="1">
        <v>0</v>
      </c>
      <c r="K75" s="2" t="s">
        <v>19</v>
      </c>
      <c r="L75" s="1">
        <v>1</v>
      </c>
      <c r="M75" s="6">
        <v>45436</v>
      </c>
      <c r="N75" s="1">
        <v>0</v>
      </c>
    </row>
    <row r="76" spans="1:20" x14ac:dyDescent="0.3">
      <c r="A76" s="1" t="s">
        <v>0</v>
      </c>
      <c r="B76" s="2">
        <v>807</v>
      </c>
      <c r="C76" s="2" t="s">
        <v>1</v>
      </c>
      <c r="D76" s="6">
        <v>45427</v>
      </c>
      <c r="E76" s="6">
        <v>45432</v>
      </c>
      <c r="F76" s="3">
        <v>62</v>
      </c>
      <c r="G76" s="3" t="s">
        <v>19</v>
      </c>
      <c r="H76" s="3">
        <v>113.7</v>
      </c>
      <c r="I76" s="3" t="s">
        <v>19</v>
      </c>
      <c r="J76" s="1">
        <v>0</v>
      </c>
      <c r="K76" s="2" t="s">
        <v>19</v>
      </c>
      <c r="L76" s="1">
        <v>1</v>
      </c>
      <c r="M76" s="6">
        <v>45432</v>
      </c>
      <c r="N76" s="1">
        <v>0</v>
      </c>
    </row>
    <row r="77" spans="1:20" x14ac:dyDescent="0.3">
      <c r="A77" s="8" t="s">
        <v>4</v>
      </c>
      <c r="B77" s="9">
        <v>808</v>
      </c>
      <c r="C77" s="9" t="s">
        <v>1</v>
      </c>
      <c r="D77" s="17">
        <v>45429</v>
      </c>
      <c r="E77" s="17">
        <v>45501</v>
      </c>
      <c r="F77" s="12">
        <v>63</v>
      </c>
      <c r="G77" s="12">
        <v>71.5</v>
      </c>
      <c r="H77" s="12">
        <v>113.3</v>
      </c>
      <c r="I77" s="12">
        <v>171.4</v>
      </c>
      <c r="J77" s="8">
        <v>1</v>
      </c>
      <c r="K77" s="17">
        <v>45497</v>
      </c>
      <c r="L77" s="8">
        <v>0</v>
      </c>
      <c r="M77" s="17" t="s">
        <v>19</v>
      </c>
      <c r="N77" s="8">
        <v>0</v>
      </c>
      <c r="O77" s="8"/>
      <c r="P77" s="9">
        <v>137</v>
      </c>
      <c r="Q77" s="9">
        <v>205</v>
      </c>
      <c r="R77" s="9">
        <f t="shared" ref="R77" si="8">+Q77-P77</f>
        <v>68</v>
      </c>
      <c r="S77" s="18">
        <f t="shared" ref="S77" si="9">+(G77-F77)/F77</f>
        <v>0.13492063492063491</v>
      </c>
      <c r="T77" s="18">
        <f t="shared" ref="T77" si="10">+(I77-H77)/H77</f>
        <v>0.51279788172992069</v>
      </c>
    </row>
    <row r="78" spans="1:20" x14ac:dyDescent="0.3">
      <c r="A78" s="1" t="s">
        <v>0</v>
      </c>
      <c r="B78" s="2">
        <v>602</v>
      </c>
      <c r="C78" s="2" t="s">
        <v>1</v>
      </c>
      <c r="D78" s="6">
        <v>45386</v>
      </c>
      <c r="E78" s="6">
        <v>45495</v>
      </c>
      <c r="F78" s="3">
        <v>61.8</v>
      </c>
      <c r="G78" s="3" t="s">
        <v>19</v>
      </c>
      <c r="H78" s="3">
        <v>107.4</v>
      </c>
      <c r="I78" s="3" t="s">
        <v>19</v>
      </c>
      <c r="J78" s="1">
        <v>1</v>
      </c>
      <c r="K78" s="6">
        <v>45494</v>
      </c>
      <c r="L78" s="1">
        <v>1</v>
      </c>
      <c r="M78" s="6">
        <v>45495</v>
      </c>
      <c r="N78" s="1">
        <v>1</v>
      </c>
      <c r="S78" s="4"/>
      <c r="T78" s="4"/>
    </row>
    <row r="79" spans="1:20" x14ac:dyDescent="0.3">
      <c r="A79" s="1" t="s">
        <v>4</v>
      </c>
      <c r="B79" s="2">
        <v>603</v>
      </c>
      <c r="C79" s="2" t="s">
        <v>1</v>
      </c>
      <c r="D79" s="6">
        <v>45383</v>
      </c>
      <c r="E79" s="6">
        <v>45470</v>
      </c>
      <c r="F79" s="5">
        <v>58</v>
      </c>
      <c r="G79" s="3">
        <v>74.599999999999994</v>
      </c>
      <c r="H79" s="3">
        <v>89.7</v>
      </c>
      <c r="I79" s="3">
        <v>187.8</v>
      </c>
      <c r="J79" s="1">
        <v>1</v>
      </c>
      <c r="K79" s="6">
        <v>45461</v>
      </c>
      <c r="L79" s="1">
        <v>1</v>
      </c>
      <c r="M79" s="6">
        <v>45470</v>
      </c>
      <c r="N79" s="1">
        <v>1</v>
      </c>
      <c r="S79" s="4">
        <f t="shared" ref="S79:S84" si="11">+(G79-F79)/F79</f>
        <v>0.28620689655172404</v>
      </c>
      <c r="T79" s="4">
        <f t="shared" ref="T79:T85" si="12">+(I79-H79)/H79</f>
        <v>1.0936454849498329</v>
      </c>
    </row>
    <row r="80" spans="1:20" x14ac:dyDescent="0.3">
      <c r="A80" s="1" t="s">
        <v>0</v>
      </c>
      <c r="B80" s="2">
        <v>607</v>
      </c>
      <c r="C80" s="2" t="s">
        <v>1</v>
      </c>
      <c r="D80" s="6">
        <v>45394</v>
      </c>
      <c r="E80" s="6">
        <v>45501</v>
      </c>
      <c r="F80" s="3">
        <v>64.099999999999994</v>
      </c>
      <c r="G80" s="3">
        <v>80.900000000000006</v>
      </c>
      <c r="H80" s="3">
        <v>120.2</v>
      </c>
      <c r="I80" s="3">
        <v>264.2</v>
      </c>
      <c r="J80" s="1">
        <v>1</v>
      </c>
      <c r="K80" s="6">
        <v>45487</v>
      </c>
      <c r="L80" s="1">
        <v>1</v>
      </c>
      <c r="M80" s="6">
        <v>45501</v>
      </c>
      <c r="N80" s="1">
        <v>1</v>
      </c>
      <c r="S80" s="4">
        <f t="shared" si="11"/>
        <v>0.26209048361934495</v>
      </c>
      <c r="T80" s="4">
        <f t="shared" si="12"/>
        <v>1.1980033277870217</v>
      </c>
    </row>
    <row r="81" spans="1:23" x14ac:dyDescent="0.3">
      <c r="A81" s="1" t="s">
        <v>0</v>
      </c>
      <c r="B81" s="2">
        <v>611</v>
      </c>
      <c r="C81" s="2" t="s">
        <v>1</v>
      </c>
      <c r="D81" s="6">
        <v>45397</v>
      </c>
      <c r="E81" s="6">
        <v>45487</v>
      </c>
      <c r="F81" s="5">
        <v>67.400000000000006</v>
      </c>
      <c r="G81" s="3">
        <v>81.5</v>
      </c>
      <c r="H81" s="3">
        <v>95</v>
      </c>
      <c r="I81" s="3">
        <v>225.6</v>
      </c>
      <c r="J81" s="1">
        <v>1</v>
      </c>
      <c r="K81" s="6">
        <v>45476</v>
      </c>
      <c r="L81" s="1">
        <v>1</v>
      </c>
      <c r="M81" s="6">
        <v>45487</v>
      </c>
      <c r="N81" s="1">
        <v>1</v>
      </c>
      <c r="S81" s="4">
        <f t="shared" si="11"/>
        <v>0.20919881305637972</v>
      </c>
      <c r="T81" s="4">
        <f t="shared" si="12"/>
        <v>1.374736842105263</v>
      </c>
    </row>
    <row r="82" spans="1:23" x14ac:dyDescent="0.3">
      <c r="A82" s="1" t="s">
        <v>0</v>
      </c>
      <c r="B82" s="2">
        <v>623</v>
      </c>
      <c r="C82" s="2" t="s">
        <v>1</v>
      </c>
      <c r="D82" s="6">
        <v>45386</v>
      </c>
      <c r="E82" s="6">
        <v>45501</v>
      </c>
      <c r="F82" s="3">
        <v>64.900000000000006</v>
      </c>
      <c r="G82" s="3">
        <v>84</v>
      </c>
      <c r="H82" s="3">
        <v>123</v>
      </c>
      <c r="I82" s="3">
        <v>274.2</v>
      </c>
      <c r="J82" s="1">
        <v>1</v>
      </c>
      <c r="K82" s="6">
        <v>45487</v>
      </c>
      <c r="L82" s="1">
        <v>0</v>
      </c>
      <c r="M82" s="6" t="s">
        <v>19</v>
      </c>
      <c r="N82" s="1">
        <v>1</v>
      </c>
      <c r="S82" s="4">
        <f t="shared" si="11"/>
        <v>0.29429892141756536</v>
      </c>
      <c r="T82" s="4">
        <f t="shared" si="12"/>
        <v>1.2292682926829268</v>
      </c>
    </row>
    <row r="83" spans="1:23" x14ac:dyDescent="0.3">
      <c r="A83" s="1" t="s">
        <v>0</v>
      </c>
      <c r="B83" s="2">
        <v>703</v>
      </c>
      <c r="C83" s="2" t="s">
        <v>1</v>
      </c>
      <c r="D83" s="6">
        <v>45400</v>
      </c>
      <c r="E83" s="6">
        <v>45501</v>
      </c>
      <c r="F83" s="3">
        <v>54.3</v>
      </c>
      <c r="G83" s="3">
        <v>70.7</v>
      </c>
      <c r="H83" s="3">
        <v>67.599999999999994</v>
      </c>
      <c r="I83" s="3">
        <v>152.6</v>
      </c>
      <c r="J83" s="1">
        <v>1</v>
      </c>
      <c r="K83" s="6">
        <v>45470</v>
      </c>
      <c r="L83" s="1">
        <v>0</v>
      </c>
      <c r="M83" s="6" t="s">
        <v>19</v>
      </c>
      <c r="N83" s="1">
        <v>1</v>
      </c>
      <c r="S83" s="4">
        <f t="shared" si="11"/>
        <v>0.30202578268876623</v>
      </c>
      <c r="T83" s="4">
        <f t="shared" si="12"/>
        <v>1.2573964497041421</v>
      </c>
    </row>
    <row r="84" spans="1:23" x14ac:dyDescent="0.3">
      <c r="A84" s="1" t="s">
        <v>4</v>
      </c>
      <c r="B84" s="2">
        <v>709</v>
      </c>
      <c r="C84" s="2" t="s">
        <v>1</v>
      </c>
      <c r="D84" s="6">
        <v>45425</v>
      </c>
      <c r="E84" s="6">
        <v>45501</v>
      </c>
      <c r="F84" s="3">
        <v>62.9</v>
      </c>
      <c r="G84" s="3">
        <v>80</v>
      </c>
      <c r="H84" s="3">
        <v>97.3</v>
      </c>
      <c r="I84" s="3">
        <v>205.3</v>
      </c>
      <c r="J84" s="1">
        <v>1</v>
      </c>
      <c r="K84" s="6">
        <v>45492</v>
      </c>
      <c r="L84" s="1">
        <v>0</v>
      </c>
      <c r="M84" s="6" t="s">
        <v>19</v>
      </c>
      <c r="N84" s="1">
        <v>1</v>
      </c>
      <c r="S84" s="4">
        <f t="shared" si="11"/>
        <v>0.27186009538950717</v>
      </c>
      <c r="T84" s="4">
        <f t="shared" si="12"/>
        <v>1.1099691675231245</v>
      </c>
    </row>
    <row r="85" spans="1:23" x14ac:dyDescent="0.3">
      <c r="A85" s="1" t="s">
        <v>0</v>
      </c>
      <c r="B85" s="2">
        <v>716</v>
      </c>
      <c r="C85" s="2" t="s">
        <v>1</v>
      </c>
      <c r="D85" s="6">
        <v>45411</v>
      </c>
      <c r="E85" s="6">
        <v>45501</v>
      </c>
      <c r="F85" s="3">
        <v>65.900000000000006</v>
      </c>
      <c r="G85" s="3"/>
      <c r="H85" s="3">
        <v>119.4</v>
      </c>
      <c r="I85" s="3">
        <v>221.8</v>
      </c>
      <c r="J85" s="1">
        <v>1</v>
      </c>
      <c r="K85" s="6">
        <v>45501</v>
      </c>
      <c r="L85" s="1">
        <v>0</v>
      </c>
      <c r="M85" s="6" t="s">
        <v>19</v>
      </c>
      <c r="N85" s="1">
        <v>1</v>
      </c>
      <c r="S85" s="4"/>
      <c r="T85" s="4">
        <f t="shared" si="12"/>
        <v>0.85762144053601341</v>
      </c>
    </row>
    <row r="87" spans="1:23" x14ac:dyDescent="0.3">
      <c r="P87" s="20" t="s">
        <v>25</v>
      </c>
      <c r="Q87" s="20"/>
      <c r="R87" s="7">
        <f>+(R8+R13+R15+R21+R26+R26+R26+R30+R40+R42+R44+R45+R52+R55+R56+R57+R68)/15</f>
        <v>25.533333333333335</v>
      </c>
      <c r="S87" s="16">
        <f>+(S8+S13+S15+S21+S26+S30+S42+S44+S52+S55+S56+S57+S68+S80+S81+S82+S83)/17</f>
        <v>0.24643555942572307</v>
      </c>
      <c r="T87" s="16">
        <f>+(T8+T13+T15+T21+T26+T30+T42+T44+T52+T55+T56+T57+T68+T80+T81+T82+T83+T85)/18</f>
        <v>0.83377849231352408</v>
      </c>
      <c r="U87" s="15" t="s">
        <v>30</v>
      </c>
    </row>
    <row r="88" spans="1:23" x14ac:dyDescent="0.3">
      <c r="P88" s="20" t="s">
        <v>26</v>
      </c>
      <c r="Q88" s="20"/>
      <c r="R88" s="7">
        <f>+(R4+R12+R20+R28+R33+R43+R46+R48+R50+R58+R63+R65+R66+R72)/14</f>
        <v>30.071428571428573</v>
      </c>
      <c r="S88" s="16">
        <f>+(S4+S12+S20+S28+S33+S43+S46+S48+S50+S58+S63+S65+S66+S72)/14</f>
        <v>0.26182228596227919</v>
      </c>
      <c r="T88" s="16">
        <f>+(T4+T12+T20+T28+T33+T43+T46+T48+T50+T58+T63+T65+T66+T72)/14</f>
        <v>0.71579519645797995</v>
      </c>
      <c r="U88" s="15" t="s">
        <v>31</v>
      </c>
    </row>
    <row r="89" spans="1:23" x14ac:dyDescent="0.3">
      <c r="P89" s="20" t="s">
        <v>29</v>
      </c>
      <c r="Q89" s="20"/>
      <c r="R89" s="7">
        <f>+(R16+R18+R22+R37+R47+R53+R54+R59+R61+R62+R71+R73+R77)/13</f>
        <v>27.23076923076923</v>
      </c>
      <c r="S89" s="16">
        <f>+(S16+S18+S22+S37+S47+S54+S59+S61+S62+S71+S73+S77+S79+S84)/14</f>
        <v>0.23651268056374125</v>
      </c>
      <c r="T89" s="16">
        <f>+(T16+T22+T37+T47+T54+T59+T61+T62+T71+T73+T77+T79+T84)/13</f>
        <v>0.82443591413724682</v>
      </c>
      <c r="U89" s="15" t="s">
        <v>32</v>
      </c>
    </row>
    <row r="90" spans="1:23" x14ac:dyDescent="0.3">
      <c r="P90" s="20"/>
      <c r="Q90" s="20"/>
      <c r="R90" s="14"/>
      <c r="S90" s="14"/>
      <c r="T90" s="14"/>
      <c r="U90" s="15"/>
    </row>
    <row r="91" spans="1:23" x14ac:dyDescent="0.3">
      <c r="P91" s="20" t="s">
        <v>27</v>
      </c>
      <c r="Q91" s="20"/>
      <c r="R91" s="7">
        <f>+(R12+R20+R21+R22+R26+R28+R30+R33+R37+R40+R42+R43+R44+R45+R46+R47+R48+R50+R52+R53+R54+R55+R56+R57+R58+R59+R61+R62+R63+R65+R66+R68+R71+R72+R73+R77)/36</f>
        <v>27.083333333333332</v>
      </c>
      <c r="S91" s="16">
        <f>+(S12+S20+S21+S22+S26+S28+S30+S33+S37+S40+S42+S43+S44+S45+S46+S47+S48+S50+S52+S53+S54+S55+S56+S57+S58+S59+S61+S62+S63+S65+S66+S68+S71+S72+S73+S77+S79+S80+S81+S82+S83+S84)/42</f>
        <v>0.23259510243403311</v>
      </c>
      <c r="T91" s="16">
        <f>+(T12+T20+T21+T22+T26+T28+T30+T33+T37+T40+T42+T43+T44+T45+T46+T47+T48+T50+T52+T53+T54+T55+T56+T57+T58+T59+T61+T62+T63+T65+T66+T68+T71+T72+T73+T77+T79+T80+T81+T82+T83+T84+T85)/43</f>
        <v>0.7502507969604888</v>
      </c>
      <c r="U91" s="15" t="s">
        <v>33</v>
      </c>
      <c r="V91" s="19"/>
      <c r="W91" s="19"/>
    </row>
    <row r="92" spans="1:23" x14ac:dyDescent="0.3">
      <c r="P92" s="20" t="s">
        <v>28</v>
      </c>
      <c r="Q92" s="20"/>
      <c r="R92" s="7">
        <f>+(R4+R8+R13+R15+R16+R18)/6</f>
        <v>23.166666666666668</v>
      </c>
      <c r="S92" s="16">
        <f>+(S4+S8+S13+S15+S16+S18)/6</f>
        <v>0.23284995656203078</v>
      </c>
      <c r="T92" s="16">
        <f>+(T4+T8+T13+T15+T16)/5</f>
        <v>0.69720564530766738</v>
      </c>
      <c r="U92" s="15" t="s">
        <v>34</v>
      </c>
      <c r="V92" s="19"/>
      <c r="W92" s="19"/>
    </row>
  </sheetData>
  <mergeCells count="6">
    <mergeCell ref="P87:Q87"/>
    <mergeCell ref="P88:Q88"/>
    <mergeCell ref="P90:Q90"/>
    <mergeCell ref="P91:Q91"/>
    <mergeCell ref="P92:Q92"/>
    <mergeCell ref="P89:Q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tidy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 Stengard</dc:creator>
  <cp:keywords/>
  <dc:description/>
  <cp:lastModifiedBy>Fred Stengard</cp:lastModifiedBy>
  <cp:revision/>
  <dcterms:created xsi:type="dcterms:W3CDTF">2023-08-27T23:41:55Z</dcterms:created>
  <dcterms:modified xsi:type="dcterms:W3CDTF">2025-07-31T17:47:46Z</dcterms:modified>
  <cp:category/>
  <cp:contentStatus/>
</cp:coreProperties>
</file>